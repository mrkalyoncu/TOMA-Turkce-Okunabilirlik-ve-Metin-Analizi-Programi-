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Rahman\Desktop\"/>
    </mc:Choice>
  </mc:AlternateContent>
  <xr:revisionPtr revIDLastSave="0" documentId="13_ncr:1_{BAB99777-73DB-47F5-A9C8-470E5AD7D015}" xr6:coauthVersionLast="47" xr6:coauthVersionMax="47" xr10:uidLastSave="{00000000-0000-0000-0000-000000000000}"/>
  <bookViews>
    <workbookView xWindow="-120" yWindow="-120" windowWidth="29040" windowHeight="15720" xr2:uid="{00000000-000D-0000-FFFF-FFFF00000000}"/>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2" i="1"/>
  <c r="R17" i="1" l="1"/>
  <c r="S17" i="1"/>
  <c r="R30" i="1"/>
  <c r="S30" i="1"/>
  <c r="R29" i="1"/>
  <c r="S29" i="1"/>
  <c r="S2" i="1"/>
  <c r="R2" i="1"/>
  <c r="S42" i="1"/>
  <c r="R42" i="1"/>
  <c r="S9" i="1"/>
  <c r="R9" i="1"/>
  <c r="S32" i="1"/>
  <c r="R32" i="1"/>
  <c r="S47" i="1"/>
  <c r="R47" i="1"/>
  <c r="R14" i="1"/>
  <c r="S14" i="1"/>
  <c r="R44" i="1"/>
  <c r="S44" i="1"/>
  <c r="R12" i="1"/>
  <c r="S12" i="1"/>
  <c r="S6" i="1"/>
  <c r="R6" i="1"/>
  <c r="R18" i="1"/>
  <c r="S18" i="1"/>
  <c r="S33" i="1"/>
  <c r="R33" i="1"/>
  <c r="S15" i="1"/>
  <c r="R15" i="1"/>
  <c r="R13" i="1"/>
  <c r="S13" i="1"/>
  <c r="S43" i="1"/>
  <c r="R43" i="1"/>
  <c r="S11" i="1"/>
  <c r="R11" i="1"/>
  <c r="S10" i="1"/>
  <c r="R10" i="1"/>
  <c r="R57" i="1"/>
  <c r="S57" i="1"/>
  <c r="R40" i="1"/>
  <c r="S40" i="1"/>
  <c r="S55" i="1"/>
  <c r="R55" i="1"/>
  <c r="S7" i="1"/>
  <c r="R7" i="1"/>
  <c r="S22" i="1"/>
  <c r="R22" i="1"/>
  <c r="S53" i="1"/>
  <c r="R53" i="1"/>
  <c r="S37" i="1"/>
  <c r="R37" i="1"/>
  <c r="S21" i="1"/>
  <c r="R21" i="1"/>
  <c r="S5" i="1"/>
  <c r="R5" i="1"/>
  <c r="R50" i="1"/>
  <c r="S50" i="1"/>
  <c r="S49" i="1"/>
  <c r="R49" i="1"/>
  <c r="S16" i="1"/>
  <c r="R16" i="1"/>
  <c r="R25" i="1"/>
  <c r="S25" i="1"/>
  <c r="S8" i="1"/>
  <c r="R8" i="1"/>
  <c r="S39" i="1"/>
  <c r="R39" i="1"/>
  <c r="S38" i="1"/>
  <c r="R38" i="1"/>
  <c r="R52" i="1"/>
  <c r="S52" i="1"/>
  <c r="R36" i="1"/>
  <c r="S36" i="1"/>
  <c r="R20" i="1"/>
  <c r="S20" i="1"/>
  <c r="S4" i="1"/>
  <c r="R4" i="1"/>
  <c r="R34" i="1"/>
  <c r="S34" i="1"/>
  <c r="S48" i="1"/>
  <c r="R48" i="1"/>
  <c r="S31" i="1"/>
  <c r="R31" i="1"/>
  <c r="R46" i="1"/>
  <c r="S46" i="1"/>
  <c r="R45" i="1"/>
  <c r="S45" i="1"/>
  <c r="R28" i="1"/>
  <c r="S28" i="1"/>
  <c r="S27" i="1"/>
  <c r="R27" i="1"/>
  <c r="R58" i="1"/>
  <c r="S58" i="1"/>
  <c r="S26" i="1"/>
  <c r="R26" i="1"/>
  <c r="S41" i="1"/>
  <c r="R41" i="1"/>
  <c r="R56" i="1"/>
  <c r="S56" i="1"/>
  <c r="R24" i="1"/>
  <c r="S24" i="1"/>
  <c r="S23" i="1"/>
  <c r="R23" i="1"/>
  <c r="S54" i="1"/>
  <c r="R54" i="1"/>
  <c r="R51" i="1"/>
  <c r="S51" i="1"/>
  <c r="R35" i="1"/>
  <c r="S35" i="1"/>
  <c r="R19" i="1"/>
  <c r="S19" i="1"/>
  <c r="S3" i="1"/>
  <c r="R3" i="1"/>
</calcChain>
</file>

<file path=xl/sharedStrings.xml><?xml version="1.0" encoding="utf-8"?>
<sst xmlns="http://schemas.openxmlformats.org/spreadsheetml/2006/main" count="78" uniqueCount="76">
  <si>
    <t>Metin</t>
  </si>
  <si>
    <t>orj KL</t>
  </si>
  <si>
    <t>TTR</t>
  </si>
  <si>
    <t>OCU</t>
  </si>
  <si>
    <t>KCO</t>
  </si>
  <si>
    <t>YCO</t>
  </si>
  <si>
    <t>Orj Formül 1</t>
  </si>
  <si>
    <t>orjFormül 2</t>
  </si>
  <si>
    <t>orjFormül 3</t>
  </si>
  <si>
    <t xml:space="preserve"> orjFormül 4</t>
  </si>
  <si>
    <t>Ben Zehra. Ben elli yedi yaşındayım. Emekli öğretmenim. Benim kocamın adı Mesut, o altmış iki yaşında. Mesut emekli veteriner. Bizim bir oğlumuz var, kızımız yok. Oğlumuzun adı Ömer. O tarih öğretmeni. Ömer otuz sekiz yaşında ve evli. Ömer’in karısının adı Dilek. Dilek bizim gelinimiz. Dilek otuz altı yaşında. O resim öğretmeni. Dilek ve Ömer’in iki çocukları var. Büyük çocuklarının adı Suna, küçük çocuklarının adı Derya. Suna on sekiz yaşında, o lise son sınıfta öğrenci. Derya ise dokuz yaşında. Derya ilkokula gidiyor.
Ben bütün vaktimi torunlarımla geçiriyorum. Beraber oyun oynuyoruz, televizyon izliyoruz, yemek yapıyoruz ve geziyoruz. Torunlarımı, yani genç arkadaşlarımı çok seviyorum.</t>
  </si>
  <si>
    <t>Benim en yakın arkadaşım Anna. O yirmi beş yaşında. O bir okulda tarih öğretmeni. Onunla beş seneden beri arkadaşız. Liseyi beraber okuduk. Onun ailesini çok seviyorum. Onun babası mühendis, annesi mimar. Onların bir inşaat şirketi var. Onun iki kız kardeşi var. Onların adları Judie ve Sarah. O üç ay sonra evleniyor. Şimdi nişanlı. Onun nişanlısı da öğretmen. O boş zamanlarında bol bol tarih kitabı okuyor. Biz onunla beraber çok güzel vakit geçiriyoruz, beraber tatile çıkıp değişik ülkeleri geziyoruz. Şimdi onunla ayrıyız. O Almanya’da. Onunla telefonda veya internette konuşuyoruz. Onu çok özlüyorum.
Benim en yakın arkadaşım Hassan. O yirmi bir yaşında. O üniversitede hukuk okuyor ve avukat olmak istiyor. O şimdi Mısır’da. O benim çocukluktan beri arkadaşım. Benim babamla onun babası da çok yakın arkadaş. Biz bütün aile sık sık görüşüyoruz. Beraber tatile gidiyoruz. Onun babası bir şirketin müdürü. Annesi ev hanımı. Onun bir kardeşi var. Onun adı Leen. O da İstanbul’da Türkçe kursuna gidiyor ve İstanbul’da üniversitede okumak istiyor. Ben ona yardım ediyorum. O benim kardeşim gibi. Hassan boş zamanlarında internete giriyor. Biz onunla birlikte genellikle dışarıda geziyoruz ve bol bol sohbet ediyoruz. O çok akıllı biri. Eminim çok iyi bir avukat olacak.</t>
  </si>
  <si>
    <t>Merhaba Kseniya! Nasılsın?
İyiyim. Yarın yanındayız. Çok heyecanlıyım. Sen bir plan yaptın mı? Orada neler yapıyoruz?
Her şey hazır. Siz uçaktan indikten sonra sizi Sultanahmet’teki otele götürüyorum. Biliyorsun ben evde kalıyorum ama evde sizin için uygun yerim yok. Siz ilk önce eşyalarınızı odanıza yerleştiriyorsunuz. Sonra ben sizi otelden alıyorum ve oradaki lokantalardan birinde yemek yiyoruz. Sultanahmet’te meşhur köfteciler var. Sonra Sultanahmet’te dolaşıyoruz. Orada birçok tarihî yer var. İlk önce Ayasofya Müzesi’ni ve Sultanahmet Camii’ni sonra Yerebatan Sarnıcı’nı geziyoruz. İlk günümüzü burada geçiriyoruz.
Çok güzel. Peki, akşam için bir planın var mı? Biliyorsun İstanbul’da sadece iki gün kalacağız. İstanbul’da her yeri görmek istiyoruz.
Tabii var. Akşam Boğaz’daki bir restorana gidiyoruz. Orada çok güzel balık restoranları var. Oradaki manzara çok güzel. Boğaz, Asya ve Avrupa’yı birbirine bağlıyor.
Peki bir sonraki gün neler yapıyoruz?
Anadolu yakasındaki güzel bir restoranda kahvaltı ile güne başlıyoruz. Oradan Üsküdar’a gidiyoruz ve Üsküdar’daki Kız Kulesi’ni geziyoruz. Daha sonra Kız Kulesi’nin karşısındaki bir kafede Türk kahvesi içiyoruz.
Biz ayrıca Taksim’i de görmek istiyoruz.
Ben de sizi oraya götürmek istiyorum. Üsküdar’dan sonra Kabataş’a vapur ile geçiyoruz. Oradan metro ile Taksim’e gidebiliriz. Taksim İstanbul’un merkezi. Oradaki mağazaları, kafeleri, lokantaları herkes çok seviyor. Orada akşama kadar geziyoruz. Sonra Sultanahmet’e geri dönüyoruz. Eşyalarınızı alıyorsunuz ben sizi havaalanına bırakıyorum. Gezi planımız hakkında ne düşünüyorsun?
Her şey çok güzel. Yarını dört gözle bekliyorum. Ben arkadaşlara planını söylüyorum. Yarın görüşürüz.
Görüşürüz.</t>
  </si>
  <si>
    <t>Ülkemizde ayaküstü hazır yiyecek kültürü çok eski yıllardan beri vardır. Çalışan insanların saatlerce yemek yiyecek zamanları yoktur. Bu nedenle büyük kentlerimizde özellikle İstanbul’da, sokakta ayaküstü yemek yemek yaşamın bir parçasıdır. Sokakta insanlar açlıklarını yatıştırmak için günün herhangi bir saatinde, kısa zamanda, ayaküstü bir şeyler yiyip işlerine giderler. Ayaküstü yiyeceklerin hepsi taze ve günlüktür. İstanbul sokaklarında simit, köfte, lahmacun, kumpir, sandviç, poğaça, tost ve benzerlerini bol miktarda bulabilirsiniz. Simit, geleneksel, ekonomik ve çok yaygın bir yiyecektir. Halka şeklinde, susamlı bir ekmek çeşididir. Lezzetli tost ve sandviçleri, genellikle otobüs duraklarının yakınındaki küçük büfelerde bulabilirsiniz. Tostun içinde peynir, sucuk, salam gibi ürünler vardır. Gözleme de çok meşhur bir ayaküstü yiyecektir. Gözlemenin içinde kıyma, peynir, patates ya da çeşitli sebzeler olabilir. Gözlemenin ekmeği çok incedir. Lahmacun, Güneydoğu Anadolu kökenli bir yiyecektir ama büyük kentlerimizde de çok popüler. Ayranla birlikte tüketilir. Geleneksel bir başka ayaküstü yiyecek türü kumpirde közlenmiş iri patatesin içinde peynir, salam, Amerikan salatası, zeytin gibi çeşitli yiyecekler vardır. Pideyi ince ekmek hamuru ile yaparlar ve üzerine kıyma, kuşbaşı et, yumurta, kaşar peyniri, sucuk koyarlar. Ayrıca, ayaküstü yiyeceklerin arasında balık ekmek, köfte ekmek ve dürüm vardır. Midye dolma da çok lezzetli bir ayaküstü yiyecektir. Seyyar satıcılar bunları şehrin sokaklarında satarlar.</t>
  </si>
  <si>
    <t>Benim adım Şükrü. İzmirliyim. Altmış beş yaşındayım ve yarın benim doğum günüm. Oğlum doğum günümde bizi tatile götürecek. Tatile, gelinim ve torunum da gelecek. Sizce biz nereye gideceğiz? Bunu ben size söylemeyeceğim. Orasını siz tahmin edeceksiniz. İşte sizin için bazı ipuçları: Rezervasyonu oğlum yapacak, biletlerimizi alacak. Oraya uçakla yaklaşık on saatte gideceğiz. Valizimize yazlık kıyafetlerimizi koyacağız çünkü orası çok sıcak bir yer. Orada çok güzel sahiller var. Sahilde kumda yatacağım ve bol bol güneşleneceğim çünkü benim romatizmam var. Oranın havası çok nemli, Pasifik Okyanusu kıyısında bir yer. Orada aniden yağmur yağıyor, bunun için yağmurluklarımızı yanımıza alacağız. Orada çok meşhur tapınaklar var, biz tapınakları da ziyaret edeceğiz. Okyanusa dalacağız. Okyanusta rengarenk balıkları göreceğiz. Lokantada çok lezzetli balık yemekleri yiyeceğiz. Biz de oranın halkı gibi yöresel kıyafetler giyeceğiz. Ev dekorasyonu için ahşap ürünler alacağız. Bembeyaz kumlu plajlarını gezeceğiz. Yanardağların eteklerindeki pirinç tarlalarını göreceğiz. Oradaki halkın yöresel dansları eşliğinde eğleneceğiz. Değişik soslu ve baharatlı özel yemeklerin tadına bakacağız</t>
  </si>
  <si>
    <t>Ayça Hanım merhabalar, hoş geldiniz.
Hoş bulduk Mert Bey, geç kalmadım, değil mi?
Hayır. Merak etmeyin. Tam zamanında geldiniz. Saat on dört.
Harika. Geçen hafta bana oğlumun doğum günü partisi ile ilgili bir dosya gönderdiniz. Çok detaylı okuyamadım, çünkü geçen hafta çok yoğundum. Ama fiyatları gördüm, fiyatlar benim için uygun. Diğer konuları şimdi konuşabiliriz.
Elbette. Ben size etkinliklerimizden bahsedeyim hemen. Oğlunuz altı yaşındaydı değil mi?
Evet. Bu onun altıncı yaş günü partisi olacak.
Partiye kaç kişi davet edeceksiniz?
Oğlumun okuldan yedi arkadaşı gelecek. Apartmandan da üç arkadaşı gelecek. Oğlumla beraber on bir çocuk, yirmi iki de ebeveyn olacak. Yani otuz üç kişilik bir organizasyon istiyorum.
 otuz üç kişi, tamam, notlarıma ekliyorum. Tüm yiyecekler ve pasta otuz üç kişilik olacak.
Pastayı arabalar filmi karakterlerinden yapabilir misiniz? Kırmızı bir araba karakteri var o filmde, oğlum onu çok seviyor. Pastası ona büyük bir sürpriz olacak.
Elbette. Kırmızı araba pastayı çok sık yapıyoruz zaten.
Parti alanını “Arabalar” karakteri bayraklar, tabaklar, bardaklar ve masa örtüleri ile süsleyebiliriz.
Peki, menüde neler olacak?
En başta, büyük bir doğum günü pastası. Ayrıca açık büfemiz olacak. Açık büfede patates salatası, patatesli ve peynirli küçük börekler, kurabiyeler, dolmalar, kısır ve meyveler olacak.
Ben de makarna salatası yapacağım. Oğlum makarna salatasını çok seviyor. Onun için güzel bir sürpriz yapmak istiyorum ben de. Partide hangi etkinlikler var peki?
Palyaço gelecek ve gösteri yapacak. Ayrıca çocukların yüzlerini boyayacak.
Evet, harika olur. Peki, partiye köpük balon gösterisi ekleyebilir miyiz?
Köpük balon gösterisi pakete yok. Bunun için ekstra iki yüz elli TL ödeme yapabilir misiniz?
Evet, katalogda yazmıyor zaten. Para sorun değil. Lütfen köpük balon gösterisi de ekleyin.
Tamamdır, ekliyorum. Ayça Hanım, partiye başka bir şey daha eklemek ister misiniz?
Bu kadar yeterli. Daha önce de söyledim, parti sitemizin arkasındaki piknik alanında olacak. Orada masalar var. Süslemeler için Cumartesi günü saat kaçta getirebilirsiniz?
Doğum günü ön dörtte başlayacak. Biz saat on birde gelip her şeyi hazırlayacağız.
Çok iyi. Parti oğluma sürpriz olacak. O nedenle umarım sizi görmez.
Merak etmeyin. Biz çok dikkat ederiz. Bu arada, fotoğrafçı ayarladınız mı? Şirketimizin bir fotoğrafçısı var, doğum günü fotoğraflarını o çekebilir.
Teşekkürler, fotoğrafçımız var. Kız kardeşim fotoğrafla ilgileniyor uzun zamandır. O bize yardımcı olacak.
Tamam öyleyse, başka bir şey isterseniz bizi telefonla arayabilirsiniz.
Çok teşekkür ederim. Şimdiden ellerinize sağlık.
Görüşmek üzere.</t>
  </si>
  <si>
    <t>Günümüzdeki tartışmalardan biri de “alaylı mı?” “mektepli mi” tartışmasıdır. Peki, bu tartışma nedir? Bir meslekte tecrübe sahibi olmak için ya da o meslekte çalışmak için okula gitmek şart mıdır? Eğitim almak, kurslardan sertifikalar almak gerekiyor mu? Alaylı mı yoksa mektepli mi olmak gerekiyor? İşte bu sorunun cevabı günümüzde hâlâ bir tartışma konusudur.
Bir meslekte alaylı olmak; o mesleği öğrenmek için bir okulda eğitim almamak, o mesleği yerinde çalışarak öğrenmektir. Mektepli olmak da bir meslek sahibi olmak için okulda eğitim almaktır. Bazı mesleklerde alaylı olmak avantajlıyken bazı mesleklerde alaylı olmak dezavantajlıdır.
Alaylı olmak bir mesleği çalıştığı iş yerinde öğrenmektir. Örneğin; bir kişi küçük yaşlarda bir terzinin yanında çırak olarak işe başlar. Belli bir zaman sonra işi öğrenir ve bir terzi hatta tasarımcı olarak çalışabilir. Alaylı bir kişi daha küçük yaşlarda mesleğe başlar. Terzilik, aşçılık, kuaförlük, takı tasarımcılığı, ticaret, tamircilik gibi pek çok işte alaylı olmak avantajlıdır.
Meslek sahibi olmak için okul okumak şart mıdır? Tabii ki değildir. Her mesleği okulda öğrenemezsiniz. Bugün “Gemicilik Bölümü” mezunu kişi ile alaylı bir gemici arasında büyük fark vardır. Gemicilik bölümündeki birçok öğrenci üniversitede pek çok bilgiyi uygulamadan mezun oluyor. Mezun olduktan sonra mesleği öğrenmeye başlıyorlar. Alaylı bir kişi de çocukluktan beri gemilerde çalışıyor. Üniversite mezunu bir kişiden daha tecrübeli ve bilgili oluyor.
Ama maalesef günümüzde iş bulmak için kriterler oldukça fazla. En önemlisi bir diploma sahibi olmak. Bir üniversiteden mezun olmak, farklı eğitim sertifikalarına sahip olmak ve birkaç dil bilmek gerekiyor. Alaylı bir kişi için iş bulmak genellikle zor oluyor. Alaylı kişilerden şu sözleri duyabilirsiniz: “Üniversite okumalıydım. Bir yabancı dil öğrenmeliydim ya da farklı eğitim sertifikaları almalıydım.”</t>
  </si>
  <si>
    <t>Mayıs ayının beşinci günüydü. Adana’dan uçağım kalktı ve bir saat sonra İstanbul Sabiha Gökçen Havalimanına indi. Büyük bir heyecan ile uçaktan iner inmez annemi aradım ve ona haber verdim. Çok heyecanlıydım. Çünkü o gün çok önemli bir iş görüşmem vardı. Mülakatın İstanbul’da Şişli’de çok meşhur bir pazarlama şirketindeydi. Çok fazla vakit kaybetmeden havalimanının çıkışında bir taksiye bindim. Ben taksiye biner binmez yaşlı bir amca da benimle beraber bindi. Çok şaşırdım. “Beyefendi önce ben bindim.” diye kibarca uyardım ama yabancı beni anlamadı ve ben de onu anlamadım. Vakit kaybetmemek için taksiden indim ve hemen başka bir taksi çağırdım. Şanslıydım hemen bir tane buldum. Havalimanından çıktık. Yolumuz uzundu. Arabadayken bir an gözlerim kapandı çünkü uykusuzdum. Tam gözlerimi kapatır kapatmaz büyük bir gürültü duydum. Araba ani bir frenle durdu. Araba çalışmıyordu. Şoför de ben de arabadan indik. Biz arabadan inince başka araçlar da durdu ve şoföre yardım ettiler. Tam kırk beş dakika sonra arabayla yeniden yola çıktık. Mülakat için çok fazla zamanım yoktu. Şişli’ye gider gitmez hemen koşarak şirketin kapısından girdim. Danışmaya gidip adımı soyadımı söyledim ve “Mülakat için geldim.” dedim. Önce anlamadılar sonra “Yanlış binadasın, mülakat yan binada.” dediler. Yine koşarak yan binaya geçtim. Yan binanın kapısından girince ayakkabılarımdan birinin topuğu kırıldı ve düştüm. Oradaki görevliler bana yardım etti. Hemen ayağa kalktım, hiçbir şey olmamış gibi davrandım. Görevlilere “Mülakat nerede?” diye sordum. “Mülakat bitti hanımefendi, siz geç kaldınız.” dediler. Hiçbir şey söylemeden binadan çıktım. O gün çok ağladım. “Ben şimdi ne yapacağım?” diye düşündüm. Adana’ya dönüş biletim ertesi gündü. Dinlenmek için yakınlardaki bir kafeye gittim. Hâlâ ağlıyordum. Yan masadan bir amca “Neden ağlıyorsun kızım?” diye sordu. Bu soruyu duyar duymaz tekrar ağlamaya devam ederek bütün olayları tek tek anlattım. Bugün o şirketin pazarlama müdürüyüm. O amca da şirketin sahibiydi. Hayatta başımıza gelen kötü olaylar iyi olayların sebebi olabilir. Bütün bu kötü olaylar beni hayatımda bugünkü konumuma getirdi. Her şerde bir hayır vardır.</t>
  </si>
  <si>
    <t>Merhaba Özlem, nasılsın?
Sorma, hiç iyi değilim. Sanırım işten ayrılacağım.
Hayırdır, ne oldu?
Ne olacak, patronumun davranışlarından çok şikâyetçiyim. Bana yeni bir işçi gibi davranmasından bıktım.
Ne yapıyor?
Ben üç senedir orada çalışıyorum ama her işimi kontrol ediyor. Bu da beni çok rahatsız ediyor. Ayrıca işe giriş ve çıkış saatlerimi soruyor.
Biliyorsun kontrolcü patronlar her iş yerinde var. Ama sen işini çok seviyordun.
Evet seviyordum ama artık gereksiz işler yapmaktan sıkıldım. Ben orada grafiker olarak çalışıyorum. Ama bana sekreteri gibi davranıyor. Bana bazen kendisine çay getirmemi, fotokopi çekmemi veya bankaya gidip faturaları yatırmamı söylüyor. Geçen gün de işleri bitirmemiz için bütün hafta gece yirmi üçe kadar mesaiye kalmamızı söyledi.
Ama mesai için ekstra ücret alıyorsunuz, değil mi?
Maalesef, hayır. Zaten bu yüzden işten ayrılmaya karar verdim. Biliyorsun, evde çocuğum var. Bakıcıya o saate kadar kalmasını rica ettim. O da kabul etmedi.
Peki bunu patronuna söyledin mi?
Henüz söylemedim ama yarın konuşmaya karar verdim. Bu şartlarda çalışamam. Ayrıca bazı iş arkadaşlarımla farklı bakış açılarına sahibiz ve bu nedenle çok zor anlaşıyoruz. Örneğin iş yerinde bazı kişiler hakkında dedikodular oluyor. Yani kim ne kadar maaş alıyor gibi. Ben bu konudaki görüşlerimi söyledim ve buna karşı çıktım.
Sonra ne oldu?
Beni patronuma şikayet ettiler. Ben de bu durumu açıkladım. Bu konuşmalardan çok rahatsızım diye söyledim. Şimdi tekrar konuşacağım.
Tamam canım. Umarım anlaşırsınız da işten ayrılmazsın. Bu zamanda iş bulmak zor.</t>
  </si>
  <si>
    <t>Petrol, doğaya ve insanlara zararları olmasına rağmen yaygın kullanılan bir enerji kaynağıdır. İnsanlar petrolü çeşitli araçlara enerji sağlamak için özellikle son yüz yıldır kullanmaktadır. Petrol otobüs, taksi, otomobil, kamyon ve tırlar için yakıt sağlar. Aynı zamanda uçakların yakıtı da petrolden üretilir. Ama petrol, yalnızca motorlu taşıtların hareket etmesini sağlamaz. Petrolden pek çok ürün elde edilir ve insanlar bu ürünleri günlük hayatlarında sıklıkla kullanır.
Öncelikle bilgisayarımızı, telefonumuzu şarj etmek, geceleyin odamızı aydınlatmak, çamaşırları ve bulaşıkları makinede yıkamak, televizyon izlemek gibi elektrik gerektiren tüm işlerde petrol enerjisi diğer enerji kaynaklarıyla birlikte kullanılmaktadır. Mutfaklarda yemek pişirirken kullandığımız tüpün içindeki gaz da petrolden elde edilmektedir. Yani patates, makarna ve omlet gibi hiç değilse haftada birkaç kez yediğimiz yemekleri pişirmek için de petrolden faydalanıyoruz.
Doğum günlerimizde dilek tuttuktan sonra üflediğimiz mumlar, bisikletimizin rahatça hareket etmesi için kullandığımız yağlar ve her çocuğun resim yaparken kullandığı pastel boyalar petrolden üretilir. Başka bir deyişle petrol olmasaydı bugün çok normal olduğunu düşündüğümüz pek çok etkinliği yapamazdık ya da bize kolaylık sağlayan makineleri kullanamazdık. Nitekim hayatımızın tamamında petrolün izlerine rastlamak mümkün; hem de sabah uyandığınız andan itibaren. Alarmıyla bizi uyandıran cep telefonunun malzemeleri, dişlerimizi fırçaladığımız diş fırçası, giydiğimiz elbiselerin bazıları, saçımızı taradığımız tarak, ayakkabılarımız ve kahvemizi içtiğimiz plastik bardak gibi pek çok ürünün ham maddesi, tahmin ettiğiniz gibi, petrol. Petrol ürünleri eğitim, sağlık, turizm, sanayi, ticaret ve teknoloji gibi farklı sektörlerde kullanılıyor. Örneğin sağlık sektöründe sıklıkla kullanılan ilaçların, kalp pilinin ve işitme cihazlarının üretiminde de petrol kullanılmaktadır. Deterjan ve şampuanlar, kozmetik ürünler, kredi kartı, güneş gözlüğü, tenis raketi, kask ve bebek bezi, ham maddesi petrol olan diğer ürünlerdendir.
Öyleyse şöyle düşünebiliriz “Mademki petrolü bu kadar çok kullanıyoruz, petrolsüz bir gelecek için neden uğraşıyoruz?” Aslında bu sorunun cevabı son yüz yılda inanılmaz bir şekilde artan çevre kirliliği ile ilgilidir. Petrol kullanımının yaygınlaşmasıyla hava, su ve toprak kirliliği artıyor ve dünyamız yaşanmaz hâle geliyor. Buna rağmen hayatımızın her alanında yer alan petrolü kullanmaktan vazgeçemiyoruz.</t>
  </si>
  <si>
    <t>Türk kültürünün önemli unsurlarından biri olan türkülerin sosyal hayatta yeri çok önemlidir. İnsanlar yüzyıllardır sevinçlerini, heyecanlarını, hüzünlerini ve acılarını türkülerle anlatmışlardır. Türküler yörelere, yani bulundukları coğrafi bölgelere göre değişiklik gösterir. Örneğin, İzmir türküsü ile Gaziantep türküleri müzik ve konu açısından farklılık gösterebilir. Türküler aşk, ölüm, ayrılık, doğa olayları, gurbet, özlem, güzellik, kahramanlık gibi farklı konuları anlatabilir. Türkülerin ilginç hikâyeleri vardır. Bugün üç türkü dinleyeceğiz ve onların hikâyelerine kulak vereceğiz.
İlk türkü, “Yüksek Yüksek Tepelere”. Tekirdağ yöresine ait bu hüzünlü türkü günümüzde kına gecelerinde, gelinine kına yakılırken çalar ve gelinler bu türküyü dinleyince genellikle ağlar. Türkü aileye özlemi anlatır. Bu türkünün hikâyesi şöyledir: Tekirdağ’da Zeynep isminde çok güzel bir kız vardır. Uzak bir köyden gelen Ali isimli genç Zeynep’i beğenir. Zeynep ve Ali evlenir ve Ali’nin köyünde yaşamaya başlarlar. Zeynep ailesini çok özler ama köy çok uzakta olduğu için onları ziyaret edemez. Evinin kapısında durup karşıdaki dağlara bakarak bu türküyü söyler. Türkünün sözleri şöyledir: “Yüksek yüksek tepelere ev kurmasınlar. Aşrı aşrı memleketlere kız vermesinler. Annesinin bir tanesini hor görmesinler. Ben annemi özledim, hem annemi hem babamı, ben köyümü özledim.” Bir gün Zeynep hastalanır. Köylüler Zeynep’in ailesine haber verirler. Zeynep’in annesi ve babası onu ziyarete gelir. Zeynep anne ve babasıyla hasret giderir ve bu türküyü onlara söyler. Zeynep iyileşemez ve kısa bir süre sonra ölür. O günden beri bu türkü ayrılığın ve özlemin türküsü olarak bilinir.
Diğer türkünün adı “Sarı Gelin”. Bu türkü Erzurum yöresine aittir ve iki âşık gencin hikâyesini anlatır. Erzurumlu fakir bir genç, köyden zengin bir kızın kızına âşık olur. Ancak ikisinin de ailesi evlenmelerine izin vermez. Genç adam kıza bir mektup yazar ve birlikte başka bir şehre kaçmayı teklif eder. Genç, kız ve adam köyden kaçar ama evlenemezler çünkü yakalanırlar. Kızın akrabaları genç adamı öldürüp genç kızı babasına teslim ederler. Türkü bu acılı ve hüzünlü aşk hikâyesini anlatır.
Son türkü “Silifke’nin Yoğurdu”. Bu türkü Mersin yöresine aittir. Oldukça eğlenceli olan bu türkünün kendine özel hareketli bir dansı da vardır. “Silifke’nin Yoğurdu” türküsü güzel ve becerikli Yörük kızlarını ve onların ürettikleri lezzetli yoğurtları satmalarını anlatır. Göçebe bir toplum olan yörükler keçilerinden sağdıkları sütlerle yoğurt yaparlar ve bu yoğurtları satmak için pazarlara giderler. Yöredeki ozanlar bu yoğurtların lezzetini ve Yörük kızlarının güzelliğini anlatmak için bu türküyü yazmışlardır. Yıllardır beğeniyle dinlenen türkünün sözleri şöyledir: “Silifke’nin yoğurdu, seni kimler doğurdu? Seni doğuran ana, bal ile mi yoğurdu?”</t>
  </si>
  <si>
    <t>Ayşeciğim, iyi ki bu geziye seninle beraber geldim. Mısır Piramitlerini çok merak ediyordum. Gerçekten benim için hem çok eğlenceli hem de çok faydalı bir gezi olacak. Ben aceleden çok araştırma yapamadım. Senin piramitler hakkında bilgin var mı? Gezmeden önce bana biraz anlatabilir misin?
Tabii anlatayım. Ben gelmeden önce iyice araştırdım. Mısır Piramitlerinin her biri yirmi ton olan taşlardan inşa edilmiş ve bu taşların temin edilebileceği en yakın mesafe yüzlerce kilometre uzaktaymış.
Peki bu taşların nasıl getirildiği biliniyor mu?
Hayır, maalesef bilinmiyor. Bunlardan başka Piramit kimin adına yapıldıysa, onun bulunduğu odaya, yılda iki defa güneşin girdiğini de okudum. Bu günler o kişinin doğduğu ve tahta çıktığı günlermiş.
Çok ilginç. Ben en çok mumyaları merak ediyorum. Onlar bu kadar yıldır nasıl korunabilmişler? Bunlarla ilgili bir şeyler biliyor musun?
Bu konuyla ilgili çok bilgim yok ama mumyalarda radyoaktif madde bulunduğundan, mumyaları ilk bulan on iki bilim adamının kanserden öldüğünü okumuştum.
Mumyalarda radyoaktif madde varsa bunun başka olumsuz etkileri de olabilir bence.
Başka olumsuz bir etkisinin olup olmadığını bilmiyorum ama Piramitlerin içerisinde radar, sonar gibi cihazların çalışmadığını biliyorum. Belki bu da mumyalarla ilgili olabilir. Ayrıca kirli suyu, birkaç gün piramidin içine bırakırsan, suyu arıtılmış olarak bulabileceğini de az önce bir turist söyledi. Çok ilginç değil mi? Ayrıca sütün de burada birkaç gün süreyle taze kalabileceğini ve daha sonra hiç bozulmadan yoğurt haline gelebileceğini de internetten öğrenmiştim. Sen çiçekleri çok seversin. Bitkilerin, piramitlerin içinde daha çabuk büyüdüğünü biliyor muydun?
Öyle mi? Hiç duymadım, keşke en sevdiğim çiçeğimi getirseydim.
Bir de çöp bidonunun içindeki yemek artıklarının hiç koku yaymadan piramitlerin içinde uzun süre kalabildiğini de az önce bir rehber kendi grubuna anlatırken duydum. Ve son olarak da kesik, yanık, sıyrık gibi yaraların piramidin içinde daha çabuk iyileştiğini de buraya gelmeden önce Mısırlı bir arkadaşım söyledi.
Gerçekten senin sayende piramitlerle ilgili çok şey öğrendim. Şimdi daha bilinçli olarak gezeceğim. Ben de belki birilerinden farklı bir şey duyarsam sana anlatırım.
Haydi, o zaman gezelim.</t>
  </si>
  <si>
    <t>Çölyak, hasta sayısı her geçen yıl artan bir hastalıktır. Türkiye’de iki yüz kişiden birinde çölyak hastalığı bulunur. Bu hastalık bağışıklık sistemi hastalığıdır. Çölyak hastalığına sebep olan şey birçok tahılda bulunan “glüten” adı verilen bir proteindir. Çölyak hastaları “glüten” adı verilen bu proteini sindiremez. Bu sebeple çölyak hastalarının glüten içeren besinler tüketmemeleri gerekir.
Glüten proteini buğday, çavdar, yulaf, arpa gibi tahıllarda bulunur. Bu tahıllardan yapılmış her türlü yiyeceğin tüketilmesi durumunda çölyak hastalığı tetiklenir. Bu nedenle çölyak hastaları makarna, çikolata, pasta, ekmek, börek, bisküvi gibi pek çok yiyeceği tüketemezler. Buna karşılık pirinç, mısır, patates, meyve ve sebze gibi besinler glüten içermediğinden hastalar tarafından rahatlıkla tüketilebilir.
Bir bağışıklık sistemi hastalığı olan çölyak, her yaşta görülebilir. Özellikle ailesinde çölyak hastası olan çocuklarda görülme ihtimali fazladır bu nedenle bu hastalığın genetik olduğu da söylenebilir. Çölyak hastalığı çocuklarda ve yetişkinlerde farklı belirtiler gösterir. Çocuklarda görülen belirtiler; karın ağrısı, bulantı, kusma, ishal, aşırı uyku ve davranış bozukluklarıdır. Bu belirtilerin ortaya çıkması yıllar sürebilir. Çölyak hastalığı yetişkinlerde genellikle otuzkırk yaş civarında ortaya çıkar. Saç dökülmesi, kansızlık ve ishal gibi belirtiler gösterir.
Çölyak hastalığının tanısı için öncelikle belirti gösteren kişilere kan testi yapılır. Bu testte kalsiyum, magnezyum, potasyum, protein ve demir gibi bazı maddelerin kandaki seviyesi ölçülür. Yapılan testlerin sonuçları çölyak hastalığını gösteriyorsa, ikinci bir adım olarak bağırsak, kolonoskopi yöntemiyle uzman bir doktor tarafından incelenir. Çölyak hastalığı tanısı konulduktan sonra yapılması gereken tek şey, glüten içeren yiyeceklerden tamamen uzak durmak, onları tüketmemektir. Bunun için glüten içeren besinlerin çok iyi bilinmesi gerekir. Glüten içermeyen bir diyetin uygulanması normal beslenmeye göre zor olabilir ve ciddi bir planlama gerektirir. Bu nedenle kesin tanı konulmadan bu tür bir diyetin uygulanması tavsiye edilmez.</t>
  </si>
  <si>
    <t>Gençliğimde öyle hayallerim vardı ki… Üniversiteden birincilikle mezun olacaktım. Bunun için üniversitenin ilk yıllarından itibaren düzenli ders çalışacaktım ve bütün kültürel etkinliklere de katılacaktım. Bunların yanı sıra pek çok arkadaşım olacaktı ve hepsine vakit ayıracaktım. Evet, pek çok arkadaşım oldu ve onlara hep zaman ayırdım. Ama bırakın birincilikle mezun olmayı dört yıllık okulu yedi senede bitirdim. Üniversiteyi zar zor bitirince kendi kendime “Madem üniversite hayallerin gerçek olmadı, o zaman iş hayatında başarılı olursun.” dedim.
Başladım yine hayaller kurmaya. İyi bir özgeçmiş hazırlayıp büyük firmalara başvuru yapacaktım. Mülakatlara çok iyi çalışacaktım ve iyi maaşlı bir iş bulacaktım. Belki biraz zaman alacaktı ama sonunda güzel bir işe kavuşacaktım. Çok zaman aldı. Büyük firmalar benim gibi tecrübesiz birini işe almak istemiyordu. İyi bir iş bulmam iki yıl sürdü. İstediğim işi geç buldum ama en azından iyi bir maaşım ve güzel bir kariyerim olacaktı.
İş yerindeki ilk aylarım çok güzel geçti. İşleri öğrendim ve neler yapmam gerektiğini anladım. Fakat zaman geçtikçe işler yoğunlaştı. Çalıştığım ekipteki herkes benden daha hızlıydı. Projelerde hep geç kalıyordum ve kimseye yetişemiyordum. Bir gün bir iş arkadaşım beni yemeğe çıkardı ve benimle açık açık konuştu. Bana sürekli her şeyi ertelediğimi ve hatta hayatımı ertelediğimi söyledi. Haklıydı. Ben o güne kadar yapmam gereken her şeye “Yarın yaparım.”, “Sonra hallederim.” demiştim.
O arkadaşımın yönlendirmesiyle bir uzmanla görüştüm. Yılların alışkanlıklarını değiştirmek zor oldu. Yine de sonunda daha planlı birine dönüştüm. Ben yavaş değiştim ama başarı hızlı geldi. Daha planlı birine dönüştüğüm an iş yerinde çok daha aktif bir çalışan oldum. Zamanla dikkat çekmeye ve daha iyi iş teklifleri almaya başladım.
Üstelik sosyal hayatıma ayırdığım vakit de hiç azalmamıştı. Hatta sık sık seyahat etmeye başladım ve pek çok yeni yer gördüm. Sosyal çevrem de gelişti ve yeni insanlarla tanışmaya başladım. Eşimle de bu dönemde tanıştım. Benim hikâyemi dinleyen hayat arkadaşım bu hikâyeyi özellikle siz öğrencilerle paylaşmam gerektiğini söyledi. İşte sevgili öğrenciler, bugün size bunları anlatmak için buradaydım.
Hayat çok hızlı akıyor. Sanki daha dün sizin gibi bu sıralarda oturuyordum. Hayatınızın kontrolünü ellerinize alın ve başarı adımlarınızı ertelemeyin.</t>
  </si>
  <si>
    <t>Ne haber Elif ne yapıyorsun?
Ne yapayım canım. Bildiğin gibi iş, güç. Ben de seni arayacaktım. Aklımdaydın. Ne zamandır konuşamadık. Sen neler yapıyorsun?
Benim de her şey bildiğin gibi. Ama sana çok şaşıracağın haberlerim var.
Hayırdır ne oldu?
Alper yanında mı?
Yok değil, yalnızım. Ay, çok merak ettim şimdi.
Alper yüzük almış Elif, evlilik teklifin yolda geliyor.
Ne? Ciddi misin? Ne zaman almış? Sen nereden biliyorsun?
Cem söyledi. Onunla gidip bakmışlar yüzüğe. Ama bak, sakın çaktırma. Cem’e de söz verdim, sana söylemeyeceğim, diye. Ama dayanamadım. Bu cumartesi teklif edecekmiş.
Ay bu cumartesi mi? İnanmıyorum. Ne giyeceğim? Hemen kuaför randevusu almam lazım.
Ben de zaten o yüzden sana haber vermeye karar verdim. Çünkü Alper bir fotoğrafçıyla da anlaşmış. Teklif sırasında videolarınızı, fotoğraflarınızı çekeceklermiş. Güzel bir elbise giy, biraz süslen.
İyi ki söyledin. Alper “Cumartesi akşamına plan yapma. Beraber yemek yiyelim.” demişti ama hiç aklıma bu gelmedi. Kot, tişört giderdim. Of, ama çok heyecanlandım.
Ay, yüzüğün çok güzelmiş Elif. Cem bile çok beğenmiş. Güzel bir restorana gidecekmişsiniz. Deniz kenarında biraz yürüyecekmişsiniz. O sırada teklif edecekmiş. Çok da ince giyinme yani. Hava serin, ona göre hazırlan.
Peki baş başa mı olacakmışız? Arkadaşlarımız da gelecek miymiş?
Ay, o kadarını da söylemeyeyim artık. Biraz da sürpriz olsun.
Yani Aslı, her şeyi anlattın zaten sürprizi mi kaldı?
Of, konuşturuyorsun beni. Arkadaşlarınız da gelecekmiş tabii ki. Hatta ben de geleceğim. Ama sen bizi görmeyeceksin. Hepimiz tekliften sonra yanınıza geleceğiz. Alper annenlere de haber verecekmiş. Ama gelirler mi bilmiyorum?
Harika! O zaman sen hem benim hazırlanmama yardım edersin hem de benim için yanına fazladan ceket alırsın. Hemen plan yapmamız lazım Aslı. Akşam bana gelsene. Hem bu haberi kutlamamız lazım.
Cumartesi akşam kutlayacağız ya zaten. Tamam, akşam iş çıkışı gelirim. Cem de beni senden almaya gelir. Ama bak, sakın! Ne Alper’e ne de Cem’e çaktırmayacaksın. Valla sonra bana çok kızarlar.
Tamam tamam, merak etme. Hem bende de haberler var. Madem evlilikten konuşuyoruz, akşam detaylı anlatırım.
Ne haberi? Akşama kadar meraktan çatlarım. Söyle ne olmuş?
Bugün Serpil aradı. Düğün yerine karar vermişler. Düğünleri temmuzda bir köşkte olacakmış. Bütün masrafları Mert’in ailesi ödeyecekmiş. Gelinliğini de çok ünlü bir tasarımcıya diktirecekmiş. Akşam hepsini anlatırım.
Yaa! Mert’in ailesi o kadar zengin miymiş? Neyse tamam; akşama konuşuruz. Benim de işe dönmem lazım zaten.
Tamam. Çıkınca ara. Yemek hazırlayacağım. Bir şey yemeden gel. Haydi, öpüyorum. 
Tamam. Ben de öptüm.</t>
  </si>
  <si>
    <t>Türk Hava Yollarının TK yedi yüz otuz yedi sefer sayılı Ankara uçağına hoş geldiniz. Sayın yolcularımız, uçağımızdaki emniyet kurallarını size anlatmak istiyoruz.
Önünüzdeki koltuğun cebinde güvenlik kartını bulacaksınız. Lütfen, kemerinizi kurallara uygun şekilde bağlayınız. Cep telefonlarınızı kapatınız ya da uçuş moduna alınız. Uçağımızda altı adet acil çıkış kapısı vardır. Acil inişlerde, uçağı, kapılardaki kaydıraklardan terk ediniz. Kabin basıncındaki değişiklikte, başınızın üstündeki kapaklar açılacak ve oksijen maskeleri ortaya çıkacaktır. Önce kendi maskenizi, sonra çocuğunuzunkini takınız. Herhangi bir tehlike anında, üzerinizdeki sivri cisimleri ve topuklu ayakkabınızı çıkarınız. Dikkatiniz için teşekkür eder, iyi bir uçuş dileriz.</t>
  </si>
  <si>
    <t>Benim adım Mustafa. Altmış iki yaşındayım. Emekli terziyim. Eşim ev hanımı. Onun adı Asuman. Biz bu sokakta oturuyoruz. Sokağımızın adı Aşiyan Sokağı. Bizim apartmanımız dört katlı. Her katta üç daire var. Bizim dairemiz ikinci katta. Apartmanımızın adı Yıldız Apartmanı. Biz dört numarada oturuyoruz. Ben bu apartmanın yöneticisiyim. Apartmanımızın karşısında büyük bir park ve parkın içinde yürüyüş yolu var. Eşim ve ben her sabah burada yürüyüş yapıyoruz.
Bu Salih Bey. O, fırından ekmek alıyor. Meltem Hanım büfeden gazete alıyor. Şeref Bey mahallenin muhtarı. Muhtarlık parkın içindedir. Mehmet Bey de bizim apartmanımızda oturuyor. O, öğretmen ve her sabah işine saat yedi otuzda gidiyor. Onun dairesi üçüncü katta. Bunlar Deniz ile Derya. Fakülteye gidiyorlar. Metroya binecekler. Onlar üniversite öğrencisi. Bizim apartmanımızın dördüncü katında oturuyorlar. Şeyma Hanım ve eşi Turgut Bey de bizim komşularımız. Onlar doktor ve erkenden işe gidiyorlar. Mahallemizde, Aile Sağlığı Merkezinde çalışıyorlar.</t>
  </si>
  <si>
    <t>Kızım, üniversiteye giriş sınavı sonuçlarını açıkladılar mı?
Henüz açıklamadılar babacığım. Bir haftadan beri merakla bekliyorum.
Açıklama tarihi belli mi?
Belli, en geç bu ayın sonunda açıklayacaklar.
Sonucu nasıl öğreneceksiniz?
İnternetten.
Şimdi her şey çok kolay. Bizim zamanımızda postacılar vardı.
Şimdi internet en kolay ve hızlı iletişim aracı. Senin sınav sonucun ne kadar zamanda geldi?
Şimdikinden daha uzun zamanda geldi. Ben, haftalarca postacının yolunu gözledim.
Babacığım, sizin zamanınızda daha heyecanlıydı, değil mi?
Heyecanlıydı ama bence şimdiki uygulama daha güzel.
Olsun babacığım. Hepsi birbirinden heyecanlı.
İnşallah hayırlı bir sonuç gelir.
İnşallah.</t>
  </si>
  <si>
    <t>Paradan önce insanlar pek çok şey kullanmıştır. Deniz kabukları, değerli taşlar, metaller… İnsanoğlu ilk zamanlar yirmi yumurta vermiş, iki metre kumaş almış, kimi zaman gömleğinin parasını dört tane tavuk vererek ödemiş. Daha sonra insanların hayatına para girmiş.
Para şüphesiz insan yaşamında büyük bir öneme sahip. Napolyon “Para para para” Bacon ise “Para iyi bir hizmetçi, kötü bir efendidir.” demiş. Günümüzde para pek çok ihtiyacımızı karşılıyor, yaşamımızı kolaylaştırıyor. Para olmadan bir yerlere gitmek, yemek yemek, alışveriş yapmak mümkün değil. Parayla ilgili önemli sözler vardır. Örneğin; “Para her kapıyı açar.”, “Parayla dost bulunmaz.”, “Paranın yüzü sıcaktır.”
Bu sözler paranın olumlu ve olumsuz yanlarını gösteriyor. Peki, paranın gücü her şeyi satın almaya yeter mi? Mutluluk, huzur, arkadaşlık, dostluk, sağlık… Bunun gibi pek çok kavramı satın almaya paranın gücü yetmez. Lüks şeyler almak mümkün ama kültür almak mümkün değil. Ev satın almak mümkün ama yuva almak mümkün değil. Saat almak mümkün ama zaman almak mümkün değil. Yatak almak mümkün ama uyku almak mümkün değil. Parayla doktora gitmek mümkün ama sağlık satın almak mümkün değil. Bu yüzden hayatta parayla neler alamıyoruz, işte onlar bizim için en değerli şeylerdir.
Evet, para hayatımızın devamlılığı için çok önemli ama paranın kölesi olup önemli duyguları da unutmamak gerek. Kısacası para her şey değildir. Para bir amaç değil, araçtır.</t>
  </si>
  <si>
    <t>Bir varmış bir yokmuş. Çok eski zamanlarda ülkelerin birinde büyük bir saray varmış. Bu sarayda bir kral üç kızıyla birlikte yaşarmış. Kral kızlarını çok severmiş. Bir gün kral çok hastalanmış. Kızlarını yanına çağırmış. Önce büyük kızına sormuş.
Söyle bakalım kızım, beni ne kadar seviyorsun?
Kralın büyük kızı;
“Benim kıymetli babacığım, ben seni evrendeki yıldızlar kadar seviyorum.” demiş. Kral büyük kızının cevabından mutlu olmuş. Sıra gelmiş ortanca kızına, o da;
“Benim dünyalar tatlısı babacığım, ben seni dünyalar kadar seviyorum.” demiş. Kral ortanca kızın cevabını da beğenmiş. Sıra gelmiş en küçük kızına. Kral, “Söyle bakalım kızım, sen beni ne kadar seviyorsun?” demiş.
Kralın küçük kızı, diğer kızlarından farklıymış, hem çok duygusal hem de iyiliksevermiş. Küçük kız babasına;
“Ben seni tuz kadar seviyorum, babacığım.” demiş.
Kral, kızının bu cevabını pek beğenmemiş. Zavallı küçük kızı sarayından kovmuş.
Küçük kız saraydan ayrılmış. Az gitmiş uz gitmiş, dere tepe düz gitmiş. Sonunda bir ülkeye gelmiş. Meydanda çok büyük bir kalabalık varmış. Küçük prenses bu kalabalığı merak ederek yanlarına gitmiş. O sırada bir güvercin uçup başına konmuş. Bütün kalabalık prensesin başına toplanmış. Küçük prenses ne olduğunu hâlâ anlamamış. Bütün halk hep birlikte: “Yaşasın! Ülkemizin kraliçesi!” diye bağırmışlar. Ülkenin kralı evlenmek istiyormuş. Ama hiç kimseyi beğenmiyormuş. Sarayın büyücüsü sihirli bir kuş yapmış. Bu kuş hangi güzel kızın başına konarsa o kişiyle evlenecekmiş. Güvercin de küçük prensesin başına konmuş. Masal bu ya, kırk gün kırk gece düğünle prenses, o ülkenin kraliçesi olmuş. Prenses eşini çok sevmiş. Fakat prenses bir türlü mutlu olamıyormuş. Çünkü babasının kendisini saraydan kovmasını unutamıyormuş. Ama yine de babasını çok seviyormuş. Aradan uzun yıllar geçmiş. Bir gün babası kral olarak onların ülkesini ziyaret etmiş. Küçük prenses, babası için sarayın aşçılarına çok güzel bir yemek sofrası hazırlatmış. Ancak aşçıbaşına yemeklere tuz koymamasını söylemiş. Yemek vakti gelmiş, kral sofraya oturmuş. Hangi yemeğe kaşık atsa ağzını ekşitmiş. Çünkü yemeklerde bir damla tuz yokmuş. Prensesin babası elindeki kaşığı fırlatarak: “Bunların hiçbirinde tuz yok!” diye bağırmış. Küçük prenses babasına bakarak: “Beni tanımadınız mı?” diye sormuş. Kral, prensese dikkatli bakmış. Sonra birden heyecanla ve büyük bir sevinçle “Sen benim küçük kızımsın!” deyip yerinden kalkarak kızına sarılmış. Küçük prenses: “Hatırlıyor musun babacığım?” demiş. “Yıllar önce sen bana, beni ne kadar seviyorsun diye sormuştun. Ben de sana ‘Tuz kadar seviyorum.’ dedim. Sen de beni saraydan kovdun. İşte şimdi anladın mı? Tuz ne kadar da önemliymiş? Çünkü tuzsuz hiçbir yemeğin tadı olmaz.” Kral çok utanmış. Kızından af dilemiş. Kızı da babasını affetmiş. Ömür boyu mutlu yaşamışlar.</t>
  </si>
  <si>
    <t>Canım aylardır yoğun bir şekilde çalışıyoruz. İş yoğunluğundan, şehrin gürültüsünden bıktım. Bu hafta sonu bir yerlere gidelim mi?
İyi olur. Neden olmasın! Bize de bir değişiklik olur. Nereye gidelim?
İstanbul’a en yakın yer Şile. Ne dersin?
Tamam. Aaa, bilgisayar da açık. Hadi biraz pansiyonları araştıralım.
Tamam, araştıralım. Bak burada ne yazıyor? Nehir kenarında, kalabalıktan uzak, doğanın eşsiz manzarasını sizlere sunuyoruz.
Ne kadar güzel! İletişim bilgileri var mı?
Buldum. Arayalım ve bilgi alalım.
Nehir Pansiyon. İyi günler.
İyi günler hanımefendi. Bu hafta sonu için rezervasyon yaptırmak istiyorum.
Tabii, efendim. Kaç kişilik?
İki kişilik. Bir de pansiyonunuzun hizmetleri hakkında bilgi verir misiniz?
Pansiyonumuzda tüm odalarımız balkonlu ve nehir manzaralıdır. Odalarımızda duşa kabin, yirmi dört saat sıcak su, telefon, televizyon, çay kahve makinesi, saç kurutma makinesi, buzdolabı, klima ve yedi/yirmi dört oda servisimiz bulunmaktadır.
Ne kadar güzel. Yüzme havuzunuz var mı?
Hayır, efendim.
Peki, yarım pansiyon ve tam pansiyon ücretleriniz ne kadar?
Yarım pansiyon gecelik kişi başı yetmiş TL, tam pansiyon ise yüz kırk TL efendim. Ayrıca tam pansiyona deniz bisikleti, kano, sandal veya motor ile nehir gezisi yapmak da dâhildir. Bilginize efendim.
on beşon altı Haziran için iki kişilik tam pansiyon yer ayırtmak istiyorum.
Maalesef o tarihlerde tüm odalarımız dolu ama yirmi ikiyirmi üç Haziran için mümkün.
Aaa. İnanmıyorum. Peki, o tarihlerde olsun.
Rezervasyon için kimlik bilgilerinizi alayım.
Tamam…</t>
  </si>
  <si>
    <t>Gazete artık günlük hayatımızın ayrılmaz bir parçası olmuştur. Bir gazetenin yayımlanmasındaki temel amaç ise haber vermektir. Bunu herkes bilir. Nitekim gazetenin en ilkel örneği de sadece haberleri duyurmak amacına dayanıyordu. Tarihte ilk olarak yazılı haber vermeyi Roma İmparatoru Julius Caesar başlatmıştır. Gelip geçen yolculardan ya da hükümet kaynaklarından haberler topluyor, çok basit bir ifadeyle büyük boy bir kâğıda yazıyor ve herkesin okuması için belirli bir yerde duvara asıyorlardı. Yani kentte önemli haberleri halka bildiren duvar ilanları kurmuşlardı. Bu ilanları merkezden köylere haberleri iletmek için siyasi, ticari ve sosyal haberleri içeren günlük mektuplar izlemiştir. Milattan önce elli dokuz yılında iki bin kopya olarak çıkarmış ve imparatorluğun değişik köşelerine dağıtmışlardır. Bu mektuplar siyasi gelişmeler, toplumsal olaylar, gladyatör dövüşlerinin sonuçlarını içeriyordu. Okuma bilen Roma vatandaşları yüksek sesle okuyarak diğerlerine duyururdu.
OsmanlıVenedik savaşı sırasında ise Venedik hükümetinin emriyle bazı mektuplar yazılmıştır. Bu mektuplar savaşın durumu hakkında bilgi veriyordu ve memleketin bazı yerlerinde halka bu mektupları okuyorlardı. Okuyan kişilere de en küçük Venedik parası olan “gazzetta”yı veriyorlardı. İşte gazete kelimesinin ortaya çıkış öyküsü de bu şekildedir. Çin’de Tang hanedanı döneminde bir saray genelgesi de toplumsal ve siyasi konular hakkında bilgiler veriyordu. Bu bağlamda bu genelge de bu yönüyle bir gazete sayılabilir. Tabii ki bunları ilk gazete örnekleri sayabiliriz ancak gerçek anlamıyla gazete olarak kabul etmek doğru olmaz. Bildiğiniz gibi gazetede yer ve zaman kısıtlaması yoktur. Biz nereye gazete oraya.
Bu açıdan bakınca, ilk gazetenin tarihi bin üç yüz yıl öncesine kadar uzanmaktadır. Kâğıdı ilk Çinliler yapmıştır, bunu hepimiz biliyoruz. İşin garip yönü ilk gazete de Çin’de yayımlanmıştır. Bu gazetenin adı “Başkent Haberleri” anlamına geliyordu. Söz konusu gazete sayesinde, hükümet halkı önemli gelişmelerden, herkesin duymasında, öğrenmesinde yarar olan büyük olaylardan haberdar ediyordu. Eski Roma’da da halk arasında “Günlük Olaylar” adı altında bir gazete dağıtıyorlardı. Kısacası tarihteki en eski ilk gazeteler Roma ve Çin’dedir.
On altıncı yüzyılda, para verip gazete satın almak yaygın bir alışkanlık hâlini almıştır. Venedik Hükümeti, “Yazılı Haberler” başlığıyla bir gazete yayımlıyordu ve parayla satıyordu.
Giderek gazeteler sadece bir haber duyurma aracı olmaktan çıktı. On sekizinci yüzyılda, belirli yazarlar, politikacılar, düşünürler, gazete aracılığıyla fikirlerini yayımlıyorlardı. Ancak haber sağlama olanakları çok ağırdı bu yüzden ilk gazeteler haftada bir sayı çıkıyordu.
On beşinci yüzyılda matbaanın keşfi gazete ve dergilerin hızla gelişmesine yol açmıştır. On altıncı yüzyılda Avrupa’da savaşlara tanıklık etmiş kimselerin birinci elden aktardığı birkaç sayfalık savaş haberleri yayımlandıktan sonra sürekli yayımlanan ilk gazeteler ise on yedinci yüzyılın başlarında Almanya’nın bazı kentlerinde ve Belçika’nın Anvers şehrinde basılmıştır. İlk gazeteyi Johann Carolus bin altı yüz beş yılında basmıştır. Sanayi devrimi ile gelişmiş matbaa makinelerinin icadı gazetelerin tiraj ve maliyetlerini olumlu ölçüde etkileyerek gazete okuma alışkanlığının yaygınlaşmasına neden olmuştur. Londra’da yayımlanan The Times gazetesi, bin sekiz yüz on dört yılında yeni matbaa aletlerini edinince dakikada bin yüz baskı kapasitesine ulaşmıştır.
Şimdilerde ise en yaygın gazete şekli günlük olarak çıkmaktadır ve insanları bilgilendirmek için güncel konuları içermektedir. Kısacası geçmişten günümüze kadar gazete büyük bir yol kat etmiştir. Biz kıymetini bilmesek de!</t>
  </si>
  <si>
    <t>On altıncı yüzyılın sonları ile on yedinci yüzyılın başlarında, Osmanlı Devleti’nin kale kentlerinden biri olan Erciş’te büyük bir aşk başlar. Âşık Ahmet’in oğlu Emrah, kale beyi Miroğlu Ahmet Bey’in kızı Selvihan’a âşık olur. Bu arada, Osmanlı topraklarına giren Şah Abbas, Van Kalesi’ni kuşatır. Başarılı olamaz ama İsfahan’a dönerken askerleri Erciş Kalesi’ne saldırır. Kale Beyi Miroğlu Ahmet Bey’i öldürüp kızı Selvihan’ı kaçırırlar. Şah Abbas Selvihan’ı çok beğenir ve onunla evlenmek ister. Selvihan, zaman kazanmak için bir şart koşar. Şah bir bağ yetiştirecek, bağ üzüm verdikten sonra onunla evlenecektir. Emrah, Selvihan’ı bulmak için yollara düşer. Aradan yedi yıl geçer. Emrah Selvihan’ın izini süre süre İsfahan’a varır. Şah Abbas ve Selvihan’ın düğün hazırlıkları yapılmaktadır. Emrah, Şah’ın huzuruna çıkar. Saz çalıp şiir söyler. Şah onların birbirlerini sevdiklerini anlar, Selvihan’ı Emrah’a vermeye razı olur. Şah’ın hanları buna itiraz eder fakat Şah Abbas, Emrah’ın Selvihan’ı götürmesine izin verir. Emrah, Selvihan’la birlikte Erciş’e gelir. Bu sefer, Selvihan’ın kardeşleri onu Tiflis Hanı olan amcaları Kuğu Han’ın yanına kaçırırlar ve amcalarının oğlu ile nişanlarlar. Bunu haber alan Emrah, tekrar yollara düşer. Sonunda Selvihan’ı Tiflis’te bulur. Emrah yakalanıp zindana atılır. Bunu duyan Şah Abbas bir grup askerini göndererek Emrah’ı kurtarır. Erciş’e dönerken önlerine bu sefer İran Çapakçıları çıkar ve Selvihan’ı alır götürürler. Bu duruma çok üzülen Emrah, hastalanır ve yataklara düşer. Bir gün ölüm hâlinde hasta yatarken aniden doğrularak babasından duvarda asılı duran sazını ister. “Baba, Selvihan’ın kokusu geliyor.” diyerek bir türkü söyler. Bu onun son türküsü olur. Türkü bittiğinde Selvihan karalar giymiş bir hâlde odaya girer. Elini tutmak için Emrah’ın yanına yaklaşır. Fakat Emrah, o esnada ruhunu teslim eder. Bunu gören Selvihan feryat ederek çığlıklar atar. Bu çığlıklar, günlerce Erciş Ovasında yankılanır. Emrah’ın naaşı mezara konulurken Selvihan cemaatin önüne geçer: “Ey cemaat edeceğim duaya amin deyin.” diyerek ellerini açar ve Allah’ın kendi canının da alması için dua eder, sonra da kendisini Emrah için açılan mezarın içine atar. Yan yana iki mezar açılır. Mezarlardan birine Emrah’ı, diğerine de Selvihan’ı koyarlar. Rivayete göre, o günden sonra Selvihan’ın mezarı üzerinde beyaz güller, Emrah’ın mezarı üzerinde ise kırmızı güller açmaya başlar. Yıllarca yörenin kızları bu gülleri kopararak niyet tutarlar.</t>
  </si>
  <si>
    <t>Bugün değerli hattatlarımızdan Etem Çalışkan’la birlikteyiz. Hocam kendinizden biraz bahseder misiniz?
Tabii. Bin dokuz yüz yirmi sekizde Tarsus’ta doğdum. İstanbul Güzel Sanatlar Akademisinde Prof. Sabri Berkel’den desen, Prof. Emin Barın’dan yazı, Prof. Namık Bayık’tan afiş ve grafik dersleri aldım. Mezun olduktan sonra bin dokuz yüz elli dört yılında gazeteciliğe başladım. Gazetelerde, dergilerde ressam, kaligraf ve araştırmacı olarak görev yaptım. Bin dokuz yüz seksen ikide emekli oldum ancak hâlâ çalışmalarıma devam ediyorum.
Hat sanatını bize biraz anlatır mısınız?
Estetik kurallara bağlı kalarak yazı yazma sanatı olarak açıklayabiliriz. Zaten “hat”ın anlamı da “Güzel Yazı Yazma”dır. Aslında görsel sanat türü olarak da tanımlayabiliriz. Batı kültüründe bizim hat sanatının karşılığı da kaligrafi olarak adlandırılmaktadır. Bu sanatla uğraşan kişiye de hattat denir. Hattatlar duygularını, düşüncelerini kalem ve kâğıtta bir araya getirirler.
Peki hattatlık aileden mi geliyor?
Hayır, ailemde hattat yok. Ben de güzel yazı yazmak için çok uğraşmadım. Sanıyorum, bu yetenek bende doğuştan var.
Hat kelimesi ilk olarak Arap harflerini akla getiriyor. Sizce de öyle mi?
Harflerin hepsi kutsaldır. Yazı kutsaldır çünkü insanlar okuyarak öğrenir. Güzel yazının Arap harfleriyle veya Latin harfleriyle yazılması önemli değildir.
Siz Arap harfleriyle yazmayı denediniz mi?
Hayır, denemedim. Hocam Emin Barın bana, “Arap harfleriyle mi devam edeceksin, Latin harfleriyle mi?” diye sordu. Biliyorsunuz Arap harfleri sağdan sola, Latin harfleri ise soldan sağa doğru yazılır. Her ikisinin bilek hareketleri farklıdır. Hocam, “İkisine de devam edebilirsin ama birinde mükemmel olman lazım, ona göre seç.” dedi. Ben de Latin harflerini tercih ettim.
Güzel yazı yazmak niçin önemlidir?
Güzel konuşmak niçin önemli? Etkilemek için, değil mi? Güzel yazmak da aynı sebeple önemlidir.
Bize çalışmalarınızdan da bahseder misiniz?
Türkiye’de ders kitaplarındaki Atatürk’ün Gençliğe Hitabesi ve İstiklal Marşı’nın yazımını hat sanatıyla yazdım. Atatürk’ün imzasını Atatürk’e ait imzalara bakarak stilize ettim. Ayrıca Kur’anı Kerim’in Türkçe mealini yeni yazıyla ve Nutuk’u kaligrafik olarak iki cilt hâlinde yazdım.
Anıtkabir’deki çalışmanızın öyküsü de oldukça ilginç. Anlatır mısınız?
bin dokuz yüz elli üç yılında İstanbul Güzel Sanatlar Akademisinde öğrenciydim. Hocam bana “Etem, bütün yaz yanında olacaksın. Seninle Anıtkabir’deki Atatürk’ün Gençliğe Hitabesi’ni ve Onuncu Yıl Nutku’nu yazacağız.” dedi. on Kasım’a kadar tüm bu yazıtları hat sanatıyla yazdık. Hocam ve benim için çok gurur verici bir çalışmaydı.
Hocam, bize değerli zamanınızı ayırdınız. Teşekkür ederiz.
Ben teşekkür ederim.</t>
  </si>
  <si>
    <t>Dünya üzerinde birbirinden ilginç ve farklı düğün gelenekleri var. Türkiye’de tuzlu kahveyi içen damat adayı sesini çıkartmazken Hindistan’da damadın ayakları gelinin annesi tarafından yıkanıyor. İşte dünya üzerindeki diğer gelenekler…
Afrika’nın bazı bölgelerinde damat adayı, kızı ailesinden istedikten sonra kızın ailesi kabul ederse gelin adayına para ve fıstık verir. Gelin fıstığı damatla bölüşür, çiftin birleşmesine yardımcı olan aracıya da bir parça verilir. Bu komşulara ve akrabalara düğün daveti anlamına gelir.
Çek düğünlerinde, gelinle damat törenin düzenlendiği salona girerken ayaklarının önüne tabak kırılır ardından çift birlikteliklerini ve mutluluklarını garantilemek için bu kırıkları süpürür. Çiftin mutlu beraberliğinin devamını simgeleyen diğer bir geleneğe göre ise düğün yemeğinde gelinle damat çorbalarını da tek kaşıkla içer.
İskoçya’da ise düğünden bir gün önce yumurta ve salçadan yapılan karışımla gelin baştan aşağı kaplanır ve herkesin görmesi için şehirde dolaştırılır. Gece aile büyüklerinin ortasına oturur ve onlara ayaklarını yıkatır. Bu gelenek çiftin mutluluk yolunda yürümelerini temsil eder. Düğünde ise gelin, ayakkabısına bozuk para koyar.
Kosova’da düğün töreninin kötü şans getirmemesi için, geleneksel gelin kıyafeti giydirilen gelinin yüzü beyaz boyayla boyanarak üzerine geçmişin desenleri çizilir.
Türkmenistan’da yüzyıllardır devam eden düğün gelenekleri, günümüzde de yaşatılıyor. Gelenek ve göreneklerine bağlılığıyla bilinen Türkmenlerin düğünleri oldukça renkli geçiyor. Türkmen gelinlerinin düğünlerde giydiği kıyafetlerin ve takıların ağırlığı neredeyse kendi ağırlıkları kadar oluyor. Sadece takıların ağırlığı otuz altı kiloyu bulurken, “kürte” olarak adlandırılan el işlemeli gelinlik örtüsü ve diğer kıyafetlerle birlikte bu ağırlık kırk kiloyu aşıyor.
Fas’ta düğünler genellikle yedi gün sürer. İlk gün gelin süt banyosu yapar, ardından elleri ve ayaklarına kına yakılır. Düğün süresince gelinin kıyafetini sık sık değiştirmesi beklenir. Düğün için standart bir gelinlik yoktur fakat ipek gibi pahalı kıyafetler tercih edilir.
Çin’de damadın ailesi astroloji uzmanına başvurarak evlenmeyi düşünen çift hakkında yorum ister. Eğer astroloji uzmanının hazırladığı horoskopu damadın ailesi uygun bulursa çocuklarının doğum saatini ve tarihini kızın ailesine göndererek aynı işlemi onların da yapmasını ister. Astrolog tarafından uygun bulunurlarsa çift, düğün hazırlıklarına başlar. Çin’de düğün tarihi seçimi de çiftin geleceği için oldukça önemlidir. Çift, ay takviminin yedinci ayının son on beş günü hariç, doğum günlerine ve astrolojik işaretlere göre en uygun günü seçer. Ay takviminin yedinci ayının son on beş gününde evlenmenin uğursuz olduğuna inanılır çünkü o dönemde cehennemin kapısının açılıp kayıp ruhların serbest kaldığına inanırlar. İyi şans getirdiğine inanıldığı için çiftin düğünü de mutlaka buçuklu saatlerde başlamalıdır.
Finlandiyalı gelinler düğünde el yapımı altın bir taç takarlar. Törenden sonra bekâr genç kızlar gelinin etrafında toplanır. Gelin, genç kızlar arasından birini seçerek altın tacını ona verir, seçilen kızın ondan sonra evleneceği düşünülür.
Hollanda düğünlerinde gelinle damadın masasının yanına bir ağaç yerleştirilir ve gelen misafirler gelin ve damat için dileklerini yazarak bu ağaca asarlar.</t>
  </si>
  <si>
    <t>Bir zamanlar, ülkenin birinde zengin bir aile ile fakir bir aile birbirlerine komşu olarak yaşarlarmış. Fakir ailenin evinden her akşam kahkaha sesleri yükselirken zengin ailenin evi âdeta yas evine bürünürmüş. Zengin aile, fakir komşularının bu mutluluğuna bir türlü anlam veremez bununla birlikte onların bu hâline de çok özenirmiş.
Zengin adam, bir gün karısına demiş ki,
–Biz bu kadar mala mülke sahibiz ama yine de mutlu değiliz. Niçin bizim neşemiz yok? Sen yarın, bu fakir komşulara git ve komşunun hanımına “Bu mutluluğunuzun sebebi nedir?” diye sor bakalım.
Zengin adamın karısı sabah olunca fakir komşularını ziyarete gitmiş. Sohbet sırasında evlerindeki mutluluğun sebebini sormuş. Kadın demiş ki,
–Bizim küçük bir altın topumuz var. Eşim akşam eve geldiğinde, altın topu birbirimize atarak oynar, eğleniriz.
Zengin adamın karısı, komşularının mutluluk kaynağını öğrenince hem çok şaşırmış hem de sevinmiş. Eğer onlar bir altın topla bu kadar mutlu oluyorlarsa biz on tane altın top alırız, mutluluğumuza mutluluk katarız, diye düşünmüş. Sabırsızlıkla akşamın olmasını beklemiş. Akşam olunca da durumu heyecanla kocasına anlatmış.
Zengin adam, ertesi gün bir kuyumcuya giderek altın bir top siparişi vermiş. Akşam eve dönmeden önce kuyumcuya uğramış. Kuyumcuya siparişinin hazır olup olmadığını sormuş. Kuyumcu adama,
–Evet, siparişiniz hazır. Ancak merak ediyorum, bu altın topu ne yapacaksınız? diye sormuş.
Adam kuyumcuya,
–Şimdi hemen eve gitmem lazım, hanım beni bekliyor, onunla top oynayacağız, demiş ve altın topun ücretini kuyumcuya ödedikten sonra aceleyle dükkândan çıkmış.
Bu işten pek bir şey anlamayan kuyumcu, adamın arkasından bakakalmış.
Zengin adam, eve gelir gelmez karısını karşısına almış ve altın topu birbirlerine atmaya başlamışlar. Ancak hayal ettikleri neşe bir türlü gerçekleşmemiş. Hatta madeni topun ağırlığı sebebiyle canları yanmış; sert atışlar yüzünden topun isabet ettiği vücutları, yer yer morarmış. Sabah olur olmaz zengin adamın karısı, fakir komşularının kapısına dayanmış.
–Biz senin dediğin altın topu aldık. Dün akşam kocamla karşılıklı bu topla oynadık, fakat bir türlü mutlu olamadık. Hatta topun ağırlığı yüzünden birbirimizin canını acıttık, demiş. Fakir komşu,
–A komşum, benim sana anlattığım bildiğin gibi bir top değil. Bizim sarı saçlı, tostoparlak bir yavrumuz var. Biz ona “altın top” diyoruz. Akşam olunca bir benim kucağıma, bir babasının kucağına koşar ve bizi eğlendirir. Onunla meşgul olurken yorgunluğumuzu unutur, neşeleniriz, cevabını vermiş.</t>
  </si>
  <si>
    <t>Kızım ellerine sağlık, yemekler çok güzeldi.
Afiyet olsun babacığım ama yemeği ben tek başıma yapmadım. Serkan da bana yardım etti.
Aferin benim oğluma, annesinin evladı. Küçükken bana da hep böyle yardım ederdi. Allah herkese Serkan gibi evlat nasip etsin!
Benim kızım da çok hamaratır. Elinden her türlü iş gelir.
Bırakın şimdi çocuklarınızı övmeyi de asıl meselemize gelelim. Kızım sen bize bu arada orta şekerli bir Türk kahvesi yap bakalım.
Tabii babacığım. Sizin kahveniz nasıl olsun anneciğim?
Benimki sade olsun evladım. Anlaşılan bu akşam yine uykusuz kalacağız.
Uykusuz kalacak ne var hanım! Çocuğun adı belli! Elbette, paşa babamın adı olacak: Ekrem Nazım! Küçük Ekrem Paşa.
Baba, bebeğin cinsiyeti henüz belli değil.
Oğlum, ben biliyorum, erkek olacak. Bizim sülalede ilk çocuklar hep erkek olur.
Aaa! Ben kız torun istiyorum. İkincisi erkek olsun. Adını bile hazırladım: Eda!
Biz burada neciyiz efendim? Bize hiç soran yok!
Hanım, anlaşılan biz dış kapının mandalıyız!
Ne münasebet babacığım, niçin öyle düşünüyorsunuz?
Görmüyor musun evladım? Sizinkiler maşallah, adını koymuşlar, bize de “Allah adıyla yaşatsın!” demek kalmış.
Anlaşılan sizin bu ad koyma kavganız bitmeyecek. Bir araya gelmeniz de çare olmadı. Hiç kusura bakmayın. Biz Serkan’la bu konuda bir karar verdik.
Gelin hanım, bizim çocuğu iyice eline almış bey!
Söylediğini duymadım zannetme anne.
Laf da söylenmiyor ayol, hemen de alınıyor. Huy değiştirmiş bizim oğlan. Sanki hamile gelin hanım değil de kendisi.
Durun bakalım canım, belli ki çocuklar bu işi kendi aralarında çözmüşler. Bir dinleyelim bakalım.
Dünürüm, kararı kızın vermiş ya! Bakıyorum da hemen kızından yana oldun.
Hanım, sen de lafı iyice uzattın!
Tamam tamam, konuşanda kabahat. Doğru söyleyeni dokuz köyden kovarlar, zaten! Yine kötü kaynana biz olduk!
Olur mu hiç öyle anneciğim! Sen dünyanın en tatlı annesisin.
Haydi bakalım kızım, söyleyin artık şu kararınızı da çatlatmayın bizi.
O hâlde sıkı durun, söylüyorum: Biz Serkan’la karar verdik, çocuğumuz doğmadan önce cinsiyetini öğrenmeyeceğiz. Hepimiz için sürpriz olsun istiyoruz.
Aferin benim gelinime. En doğru kararı vermişsiniz.
Hanım, az önce öyle demiyordun?
Ben ne dediğimi biliyorum bey. Henüz bunamadım.
Şimdi de ikinci kararımızı söylüyoruz: Bebek doğduktan sonra herkes belirlediği adı söyleyecek. Elbette Aylin’in de benim de düşündüğümüz bazı adlar var. Bu adları bir torbaya koyacağız ve üç kez kura çekeceğiz. Hangi ad daha çok çıkarsa bebeğin adı o olacak.
Çok iyi düşünmüşsünüz evladım. İkiniz de büyüklerinizin kalbini kırmamaya çalışıyorsunuz. Ama galiba biz heyecana kapılıp pek sağlıklı düşünemedik. Bu kararınızla bize de iyi bir ders verdiniz. Galiba doğrusu bu işi size bırakmak. Çocuğunuza ad koymak en çok sizin hakkınız.</t>
  </si>
  <si>
    <t>Spor yaparken kimi zaman bazı malzemelere gerek duyarız. Kayak için kayak takımımız, futbol için topumuz ya da tenis için raketimiz olmazsa bu sporları yapamayız. Ancak tüm bu malzemelere sahip olsak bile yeterli enerjimiz yoksa spor yapmamız olanaksızdır.
Tıpkı bir otomobilin ya da bir makinenin çalışabilmesi için yakıta gereksinim duyması gibi vücudumuz da kendisi için gerekli olan enerjiyi besinlerden alır. Ancak sağlığımız için de çok önemli olan beslenme, “bulduğumuz tüm abur cuburları yemek”ten oldukça farklı ve özen isteyen bir konudur. Özellikle spor yaparken daha fazla hareket ettiğimiz için daha fazla enerjiye ihtiyaç duyarız. Bu nedenle de bir sporcu için doğru beslenme çok önemlidir.
Doğru beslenme, karbonhidrat, protein, yağ ve vitaminlerin gerektiği kadar ve dengeli bir biçimde alınması anlamına gelir. Elbette herkesin fiziksel özellikleri ve gereksinimleri farklılık gösterebilir. Bu nedenle de beslenme ve egzersiz programları kişilere özel hazırlanır. Ancak temelde gereksinim duyduğumuz şeyler aşağı yukarı benzerdir. Vücudumuzun alması gereken protein daha çok et, yumurta ve süt ürünlerinde; karbonhidratlar tahıllarda; vitaminler ve mineraller çeşitli sebze ve meyvelerle kimi süt ürünlerinde; yağlarsa çeşitlerine göre Hindistan cevizi, mısır ya da ayçiçeği gibi bitkilerin yağlarında ve et, süt, peynir gibi hayvansal besinlerde bulunur.
Sporcu Nelere Gereksinim Duyar?
Sporcular antrenman yaparken yarış ya da karşılaşma sırasında normalde harcadıklarından daha fazla enerji harcarlar. Dolayısıyla sporcuların günlük kalori gereksinimi de diğer kişilere göre daha fazla olur. Ancak bu kalori gereksinimi, yapılan spora ve antrenman programına göre değişiklik gösterir. Örneğin, haftada kaç saat antrenman yapıldığı, alınması gereken kalori miktarı için önemlidir. Haftada on iki saat antrenman yapan bir sporcu ile on altı saat antrenman yapan sporcunun alması gereken kalori miktarı farklıdır. Bununla birlikte, kalsiyum ve demir, özellikle spor yapan kimselerin beslenmesinde çok önemlidir. Kalsiyum, kemikleri güçlendirir. Bu sayede, aşırı antrenmanlarda ve yarışmalarda zorlanan kemikler kolay kırılmaz. Bir sporcu için çok önemli olan kalsiyum özellikle süt, yoğurt ve peynir gibi süt ürünlerinde ve kimi yeşil yapraklı sebzelerde ve portakalda bulunur.
Sporcuların beslenmesinde kalsiyum gibi önemli olan bir başka mineral de demirdir. Yeterince demir almamış bir sporcu çok çabuk yorulur. Bu nedenle et, yumurta ve kurutulmuş meyvelerden yeterli miktarda demir almak sporcular için çok önemlidir.
Sporcuları sık sık su içerken görürüz. Terlediğimizde derimiz aracılığıyla su kaybederiz. Bu nedenle, sporcular egzersiz yapmadan önce, egzersiz sırasında ve egzersiz sonrasında bol miktarda sıvı tüketirler. Aşırı su kaybı, istenilen ölçüde iyi koşmayı, sıçramayı, dengeyi yerince iyi sağlayamamayı kısacası sporcunun iyi bir performans göstermesini engeller. Aşırı su kaybı nedeniyle kişi kendisini hasta gibi hisseder. Bu durumda hemen kaybedilen suyu yerine koymak için su ya da meyve suyu gibi sıvılar içilmesi gerekir. Susuz kalmamak için antrenman öncesinde, antrenman sırasında ve antrenman sonrasında sıvı almak en iyi yöntemdir. Özellikle spor yapanların sıvı alımı için kesinlikle susamayı beklememeleri gerekir.
Spor yaparken vücut bütün bir hafta boyunca tükettiği besinlerden elde ettiği enerjiyi kullanır. Ancak spor yapmadan önce yenilen de enerji açısından önemlidir. Eğer sporcu, sporun hemen öncesinde karnını doyurursa vücut egzersiz sırasında gereksinim duyacağı enerjinin bir kısmını yenilenleri sindirmek için harcadığından bu pek iyi olmaz. Bu nedenle, spor yapmaya başlamadan bir buçuk – üç saat önce yemeğin yenmiş olmasında yarar vardır. Ancak aç karna da spor yapmak çok doğru olmaz. Bütün gün sürecek bir antrenman ya da yarış varsa sporcunun yanında aralarda atıştırmak için mini sandviçler, meyve ya da az bir miktar kuruyemiş bulundurması iyi olabilir. Bununla birlikte çok şekerli ya da fazla tuzlu besinler almak da doğru değildir. Şekerleme, çikolata ya da gazoz gibi besinlerde bulunan şeker çok çabuk kana karıştığı için kişi kendisini bir anda çok enerjik/güçlü hisseder ve bu gücü hemen harcar. Ancak bu şekerin vücudu terk etmesi de aynı çabuklukta olacağı için kişi kendisini bir süre sonra çok yorgun ve tükenmiş hissedebilir. Fazla tuzlu besinler de vücutta su tutacağı için çok fazla susamaya yol açar.
Kimi sporlar için vücut yapısı önemlidir. Örneğin uzun boy, iri ya da ince bir vücut yapısı gerektiren sporlar olabilir. Ancak sporcuların beslenme programları kilo kaybetmeyi ya da almayı hedefleyerek oluşturulmamalıdır. Spor yapmak zaten hareket etmeyi sağladığı için eğer fazla kalori alınmışsa bu kolaylıkla yakılabilir. Kimi öğünleri atlamak, gerekenden az ya da fazla kalori almak ya da yüksek protein alarak beslenmek gibi programlar, spor yapanlar için uygun değildir. Bir sporcu için izlenecek en akıllı yol, dengeli ve doğru beslenmekten geçer.</t>
  </si>
  <si>
    <t>Rasim, bir akşam okuldan döndüğü vakit, kendi adına gelmiş bir zarf buldu. İçinde, çiçekli bir kâğıt üstünde, şu satırlar yazılıydı: “Rasim Bey, ben sizi uzaktan uzağa seven bir genç kızım. Çok güzel olduğumu korkmadan söyleyebilirim. Dünyada en büyük emelim sizin tarafınızdan sevilmek ve sizin eşiniz olmaktır. Fakat yaşlarınız biraz küçük olduğu için zannederim ki birkaç sene beklemek gerekecek. Şimdilik kendimi size tanıtmayacağım. Mektuplarınızı kâğıtta yazan adrese taahhütlü olarak gönderiniz. Şimdilik ailemin bu durumdan haberdar olmasını istemiyorum. Bununla birlikte belki bir gün ayaküstü görüşebiliriz. Kendimi şimdiden sevgiliniz ve nişanlınız sayıyorum. Evde yalnızlıktan çok canım sıkılıyor. Mektuplarınız benim için bir teselli olacaktır. 
On altı yaşına gelmiş her okul çocuğu gibi, Rasim için de hayatta sevilip sevmekten daha önemli bir şey yoktu. Bu mektubu okur okumaz yüreğine bir ateş düştü. Tanımadığı bu kızı deli gibi sevmeye başladı. O gece sinemaya gidecekti, vazgeçti, erkenden odasına çekilerek kendisini seven bu genç kıza uzun bir mektup yazdı. Mektubu posta kutusuna attığı zaman birden bire on yaş büyümüş gibi gurur duyuyordu. İsminin Bedia olduğunu söyleyen bu genç kız, Rasim’in mektuplarına düzenli olarak cevap veriyor, Rasim bazen nasıl bir cevap yazacağını bilmediğinden Bedia’yı uzun süre mektupsuz bırakıyordu. 
Bedia cevapsız kalan mektuplardan sonra üst üste mektuplar yazıyor, Rasim’e sitem ediyordu. “Sizi ne kadar sevdiğini ve sizin mektuplarınızdan başka tesellisi olmadığını söyleyen bir zavallı kızın gözlerini yollarda bırakmak doğru olur mu? Hem mektuplarınızı çok kısa yazıyorsunuz. Bir rica daha: Mektuplarınızı biraz okunaklı yazıyla yazamaz mısınız?”
Rasim, sitem dolu mektupların arkasından akşamları erkenden odasına kapanıyor, sevgilisine kendini beğendirmek için saatlerce müsveddeler yaparak, kitaplar gibi uzun mektuplar yazıyordu. Bedia, aynı zamanda meraklı bir kızdı. Bazen şöyle sorular sorduğu da oluyordu: “Evlendiğimiz zaman balayımızı geçirmek için acaba İtalya’ya mı gidelim, İsveç’e mi? Bu iki memleket acaba nasıldır? Halkı nasıl yaşar? Hangi iş kollarında çalışır? Oralara gitmek için hangi denizlerden, hangi memleketlerden geçilir?” Yahut da “Sen Abdülhak Hamit Bey’in Eşber isimli eserini okudun mu? Nerelerini en çok beğendiysen yaz da ben de okuyayım.”
Rasim, nişanlısına karşı küçük düşmemek için, coğrafya ve edebiyat kitapları karıştırıyor, onun istediği bilgiyi toplamak için günlerce çırpınıyordu. Bedia bir mektubunda ona şöyle darıldı: “Sizinle muhakkak görüşmeye karar vermiştim. Dün okul dönüşünde yolunuzu bekledim. Fakat bir genç kızın sevgilisi olduğunu hatırlamamış, çok fena giyinmişsiniz. Üstünüz başınız, ayakkabınız çamur içindeydi. Çocuk gibi arkadaşlarınızla mı boğuştunuz acaba? Bunu görünce sizi mahcup etmemek korkarak yanınıza gelemedim.” 
Rasim fena hâlde utandı ve üzüldü. O günden sonra olağanüstü dikkat ve özenle giyinmeye başladı. Bedia bir kere de onun okuldan çıkar çıkmaz eve gitmemesinden, geceye kadar sokakta dolaşmasından şikâyet etmişti. Acaba kendisi evde onun için ağlarken o, başka kızların peşinde mi geziyordu?
Rasim dünyada Bedia’sından başka hiçbir kızı sevemeyeceğini yeminlerle yazdı ve sokakta dolaşmaya, tesadüf ettiği kızlara göz ucuyla bile bakmaya cesaret edemez oldu. Bir akşam, Rasim’in annesi Nedime Hanım kocası Ahmet Bey’i matemli bir çehre ile karşıladı, ağlamaklı bir tavırla: “Ah Bey, başımıza gelenleri sorma. Oğlumuza Bedia isminde bir kız musallat olmuş. Bugün Rasim’in odasını düzeltirken mektuplarını buldum. Evladımız elden gidiyor. Bir çare bul.” Ahmet Bey de hiçbir meraklanma işareti görünmüyor, tersine kıs kıs gülüyordu. Sesini alçaltarak: “Korkma hanım,” dedi, “Oğlana aşk mektuplarını yazan kız benim! Oğlandaki haylazlık arttıkça artıyordu. Okuldaki öğretmenler de ben de bütün gayretimize rağmen, ona doğru dürüst yazmayı bile öğretemiyorduk. Nihayet düşüne düşüne bu çareyi buldum. Rasim’in kıza yazdığı mektuplar sayesinde bu sene sınıfı geçeceğinden eminim. Gerçekten öyle de oldu. Dersleri şu an çok iyi. Ama bu durumu ona nasıl anlatırım, hiç bilmiyorum.”</t>
  </si>
  <si>
    <t>İyi günler, altıncı Uluslararası Dünya Dili Türkçe Sempozyumu Sekreterliği. Size nasıl yardımcı olabilirim?
İyi günler, ben Dr. Cemil Ünlü. Erciyes Üniversitesinden arıyorum. altıncı Uluslararası Dünya Dili Türkçe Sempozyumunda bildiri sunacağım. Ulaşımla ilgili bilgi alabilir miyim?
Bursa’ya neyle gelmeyi düşünüyorsunuz?
Ben otobüsle geleceğim ama üniversitemizden diğer katılımcı arkadaşlarım farklı ulaşım araçlarıyla gelecekler. Ben ayrıntılı bilgi alabilir miyim?
Tabii ki… Şehir dışından gelecek konuklarımız, terminalden doksan üç ve kırk üç f numaralı belediye otobüsleriyle üniversiteye ulaşım sağlayabilirler. Mudanya ve Güzelyalı feribot iskelelerinden iki u belediye otobüsüyle, Yenişehir Havaalanından; önce kent merkezine ulaşan otobüslere ardından da üniversite yönüne çalışan tren ya da otobüslerle, İzmir yolu üzerinden gelenler Minteks’te inip seyahat ettikleri otobüs firmasının servisleriyle yerleşkemize varabilirler. Şehir içinden gelecek konuklarımızdan hafif raylı sistemi kullanarak gelmek isteyenler; Demirtaşpaşa, Şehreküstü, Osmangazi metro istasyonlarından iki numaralı Üniversite trenini, özel halk otobüsleriyle ulaşmak isteyenler; Altıparmak, Heykel, İnönü Caddelerinden kalkan kırk sekiz ve kırk sekiz A numaralı otobüsleri kullanabilirler. Bu bilgilere internet adresimizden de detaylı olarak ulaşabilirsiniz.
Çok teşekkür ederim. Ayrıca konaklama hakkında da bilgi edinebilir miyim?
Sempozyum katılımcılarımız için anlaşmalı bir otelimiz, Uludağ Üniversitesi Görükle Yerleşkesi içinde bulunmaktadır. Ancak katılımcılarımız istedikleri takdirde şehir merkezinde bulunan otel ve pansiyonlarda kalabilirler.
Ben anlaşmalı otelde kalacağım.
O hâlde otel için rezervasyonunuzu yaptırayım. İsminizi tekrarlayabilir misiniz?
Cemil Ünlü
Ne kadar süre kalmak istiyorsunuz?
Sempozyum süresince kalmak istiyorum.
Ekranda görülen numara size ait değil mi?
Evet evet, benim numaram. Bu numaradan bana ulaşabilirsiniz.
Peki kaydettim. Ben sizi daha sonra arayıp bilgi vereceğim.
İlginiz için çok teşekkür ederim. İyi çalışmalar diliyorum.
Size de iyi çalışmalar.</t>
  </si>
  <si>
    <t>O gün günlerden pazardı. Şule sabah erkenden kalktı. Pencereden dışarı baktı. Güneş parıl parıl parlıyordu. Şule çok mutluydu. Çünkü ailesi ile birlikte pikniğe gideceklerdi.
Hemen banyoya giderek elini yüzünü yıkadı. Dişlerini fırçaladı. Şule, her sabah kalkar kalkmaz bunları yapması gerektiğini çok iyi biliyordu. Böylece temiz ve sağlıklı oluyordu. Sabah temizliğini yaptıktan sonra mutfağa gitti. Annesine, “Günaydın anneciğim.” dedi. Annesi de “Günaydın yavrum.” diyerek ona karşılık verdi.
Annesi piknik için hazırlık yapıyordu. Babası da eşyaları arabaya yerleştirmeye başlamıştı. Tüm hazırlıklar bittikten sonra neşe içinde yola çıktılar. 
Çok geçmeden piknik yapacakları yere geldiler. Burası çok güzel bir yerdi. Hemen arabadan indiler. Piknik yerinde daha pek çok aile vardı. Herkes neşe içinde piknik yapıyordu
Hava mis gibi kokuyordu. Gelincik ve papatya çiçekleri çok güzel görünüyordu. Kuşlar ötüyor, kelebekler uçuyordu. Çocuklar oyun oynuyorlardı. Şule de onlara katıldı. Her şey çok güzeldi. Bir süre sonra Şule acıktığını hissetti. Annesi ve babası yemeği hazırlıyordu. Sofraya oturdular ve iştahla yemeklerini yediler.
Akşama doğru bazı aileler gitmek için toparlanmaya başladı. Bir saat sonra pek çoğu piknik yerinden ayrıldı. 
Şule, çevresine baktığında birden çok üzüldü. Sabah geldiklerinde piknik yeri tertemizdi. Oysa şimdi çevre çok kötü görünüyordu. Çöpler toplanmadan bırakılmıştı. Her tarafta boş şişeler vardı. 
Şule arkadaşlarını topladı. Onlara, “Arkadaşlar, doğayı kirletmeye hakkımız yok. Bakın her şey ne kadar kötü görünüyor. Çevremizi temiz tutmalıyız. Yoksa bir daha piknik yapacak yer bulamayız.” dedi. 
Çocuklardan biri söz aldı. “Öyleyse hepimiz birlik olalım. Çöpleri ve boş şişeleri poşetlere toplayalım. Sonra bunları uygun yerlere atalım.” dedi. 
Şule, “Ayrıca bundan sonra çevremizin kirlenmesine izin vermeyelim. Yerlere çöp atanları uyaralım. Yaptıklarının yanlış olduğunu söyleyelim.” dedi. Sonra hep birlikte çöpleri toplamaya başladılar. Kısa sürede piknik yeri tertemiz oldu.
Babası, Şule’ye, “Aferin Şule. Bugün sen ve arkadaşların çok faydalı şeyler yaptınız. Ülkesini seven herkes böyle davranmalı. Sizinle gurur duyuyorum.” Dedi.</t>
  </si>
  <si>
    <t xml:space="preserve">Eski zamanlarda suları pırıl pırıl olan bir göl varmış.  Çok temiz olduğu için, çevresinde binlerce hayvan yaşarmış. Gölün kıyısında ise küçük çalılıklar ve sazlıklar varmış. Buralarda çok çeşitli kuşlar, böcekler barınırmış. Sazlıkların yanındaki meşe ağacı, çevresindeki en büyük ağaçmış. Meşe ağacının tek yaptığı şey ise büyüklüğü ile övünmekmiş. “Böyle sağlam gövde böyle böyle güçlü dallar kimde var?” dermiş. Hatta o kadar ileri gitmiş ki, üzerine yuva yapmak isteyen kuşları ve böcekleri bile kabul etmemeye başlamış. “Gidin kendinize başka yerlerde yuva yapın. Siz kim oluyorsunuz da benim üzerime çıkmaya kalkıyorsunuz?” Diye onlara kızıyormuş. Gitmek istemeyenleri de dallarıyla kovalıyormuş. Çevredeki tüm canlılar meşe ağacından rahatsız olmaya başlamış. Onun kibirli davranışları, herkesin kalbini kırmış. Bu duruma bir çare bulmak istiyorlarmış. Ama ne yapacaklarını bilmiyorlarmış. Sonunda bir toplantı yapmaya karar vermişler. Çevredeki tüm canlılar birer temsilci göndermişler. Sazlıkların yanında bir toplantı yapmışlar. Katılan herkes bir şeyler söylemiş. Bir serçe ince sesiyle: 
-Bence hepimiz meşe ağacına küselim. Onunla hiç konuşmayalım, demiş. 
Çekirge ise heyecanla ve öfkeyle: 
-Küsmek yerine hep birlikte ona saldıralım. Yapraklarını ve dallarını koparalım. Cezasını verelim, demiş.
Sazlıktaki kamışlardan biri sözü alarak: 
-Arkadaşlar! Meşe ağacına küserek, saldırarak bir şey kazanamayız. Böyle yaparsak biz de onun gibi kötü birisi oluruz. Bence onunla bir kere daha konuşalım. Yaptıklarının hatalı olduğunu bir kere daha anlatalım. En doğrusu bu olur. Belki o da yaptığı yanlışı anlar, demiş. 
Orada bulunanların çoğu kamışın sözlerine hak vermişler. Onun meşe ağacı ile konuşmasını istemişler. Kamış, ertesi gün meşe ile konuşmuş. Ona şöyle seslenmiş: 
-Günaydın meşe kardeş! Nasılsın? 
Meşe, kendisine seslenen kamışa, her zamanki gibi küçümseyerek bakmış. 
-Senin gibi basit bir kamışla konuşmam ben. Çünkü ben senden çok büyüğüm ve güçlüyüm, demiş. Kamış:
 -Doğru büyük ve güçlüsün. Ama aynı zamanda kibirlisin. Gölde yaşayan tüm hayvanlar bundan rahatsız. Bizi küçümsemen hiç hoş değil. Senden küçük olabiliriz, ama bizler de burada yaşıyoruz. Hep birlikte dostça yaşayamaz mıyız? 
Meşe ağacı kibirli kibirli bakmış kamışa. Dallarını ve kalın gövdesini göstererek:
-Dedim ya ben güçlü ve büyük bir ağacım. Sizlerse küçük ve zayıfsınız. Benim gibi biri, sizlerle arkadaşlık etmez, demiş. 
Yüzünü öbür tarafa çevirmiş. Zavallı kamış boş yere konuştuğunu anlamış. Bu kibirli ağacın söz dinleyeceği yokmuş. Tam bu sırada hafif hafif esen rüzgâr, şiddetlenmeye başlamış. Zavallı kamışı yerlere kadar yatırmış. Meşe, kamışın durumuna çok gülmüş. 
-Gördün mü bak. Şu küçücük rüzgâra bile karşı koyamıyorsun. Sonra da gelmiş benimle arkadaş olmak istiyorsun. Bak rüzgâr bana hiçbir şey yapamıyor. Değil yerlere yatırmak, dallarımı bile kıpırdatamıyor, demiş. 
Rüzgâr giderek şiddetini artırmış. Estikçe esmiş. Kibirli meşe ise gücünü göstermek niyetindeymiş. Güçlü rüzgâra karşı direndikçe direnmiş. Ama bir süre sonra dayanamamış. “Çat” diye gövdesinden ikiye ayrılmış. Cansız bedeni yere serilmiş. Rüzgâr dindikten sonra, göldeki tüm canlılar kibirli meşenin etrafında toplanmışlar. Onun başına gelenleri ibretle seyretmişler.          </t>
  </si>
  <si>
    <t>Bir ormanın kıyısında, büyük bir çiftlik varmış.
Bu çiftlikte pek çok hayvan yetiştirilirmiş. Atlar, eşekler, inekler ve kümesteki tüm hayvanlar dostça geçinirlermiş. Birbirleriyle hiç kavga etmezlermiş.
 Kümesteki hayvanların başkanı yaşlı bir horozmuş. Bu horoz çok adaletliymiş. Tüm hayvanlara dostça davranırmış. Herkesin hakkına saygı gösterir, kimseyi incitmezmiş. 
Çiftliğin sahibi bir sabah kümesin kapısını açmış. Yanında yeni bir horoz varmış.
Diğerlerinin meraklı bakışları arasında onu bırakmış.
Herkes yeni gelenin çevresinde toplanmış. Ona “Aramıza hoş geldin!” demişler.
Yeni gelen pek kibirliymiş.
Çevresindekilere şöyle bir bakmış cevap bile vermeden yanlarından uzaklaşmış. Herkes çok şaşırmış. Bu davranışa bir anlam verememişler. Zamanla alışır nasıl olsa diye düşünmüşler.
Yeni gelen horoz genç ve güçlüymüş. Kümeste hep kendi dediği olsun istiyormuş. Bu yüzden yaşlı horozla ve diğerleriyle sık sık tartışıyormuş. Yaşlı horoz bu duruma daha fazla dayanamamış. Genç horozla kavgaya tutuşmuş. Alt alta, üst üste bir süre kavga etmişler. Her yer toz duman içinde kalmış.
Çok geçmeden genç horoz kavgayı kazanmış. Yaşlı horoz ise ibiği kanlar içinde bir köşeye çekilmiş.
Genç horoz etrafındaki kalabalığa: 
-Bu kümesin yeni başkanı benim. Artık herkes benim sözümü dinleyecek, demiş.
Kümesteki hayvanlar bu duruma çok üzülmüşler. Yaşlı horozun yanına gidip onu teselli etmişler. Yaralarını sarmışlar. Dağılan tüylerini düzeltmişler. Genç horoz, diğerlerinin şaşkın bakışları altında kümesin çatısına çıkmış. Uzun uzun ötmüş. Zaferini ilan etmiş. Tüm çiftliği inletmiş.
Günler geçmiş. Kümesin yeni başkanı olan genç horoz, iyice kibirlenmeye başlamış. Kümeste havalı havalı yürüyormuş. Her yerde eski horozu nasıl yendiğini anlatıp duruyormuş. Yaşlı horoz ise çaresizce boynunu büküyormuş. Kibirli genç horoz bir gün kümesin çatısına çıkmış. Cakalı cakalı ötüyor, bir o yana, bir bu yana yürüyormuş.
Yakınlardan geçen bir kartal, genç horozun sesini duymuş. Hızla kümesin çatısına yaklaşmış. Pençeleriyle genç horozu kapıp havalanmış. Bir gaga darbesiyle kafasını parçalamış. Alıp uzaktaki yuvasına götürmüş. 
Genç horozdan kurtuldukları için kümesteki hayvanlar çok sevinmişler. Hemen yaşlı horozun etrafında toplanmışlar. Onu tekrar başkan yapmışlar. Yaşamlarına huzur ve mutluluk içinde devam etmişler.</t>
  </si>
  <si>
    <t>Karapınar köyü sarp kayalıkların eteğindedir. Köyün alt yanında durup da kayalıklara doğru insan bir baktı mı başı döner. Sivri, boz kayalıklardır bunlar. Köylüler, çok çekmişlerdir bu kayalıklardan. Kışın çığ gelir, karlar eriyince sularla birlikte dev gibi kaya parçaları sürüklenir yamaçlardan aşağı doğru.
Bir gece yarısı Karapınarlılar korkuyla uyandılar. Koskocaman bir kaya yerinden kopmuş yuvarlana yuvarlana gelmiş, köyün yolu üstünde durmuştu. Yoldan gidip gelmek iyice güçleşmişti. Sabahleyin bütün köylü kayanın başına toplandı. Hep birlikte kaldırmayı denediler. Olmadı. Bir milim bile oynatamadılar. Sonra kayayı parçalamak için dinamit aradılar, yoktu. Birkaç genç iri balyozlarla kayayı parçalamaya giriştiler. Bir parça bile koparamadılar. Şaşırıp kaldılar. Köyü dışarıya bağlayan tek yol neredeyse tıkanmıştı. Hayvanlar, insanlar zorlukla geçiyordu. Geçebilmek için kayanın etrafını dolaşıyorlardı. 
Köy halkı, kayanın yanı başına çökmüş, bir yol arıyorlardı. Ne yapacaklardı? Nasıl kurtulacaklardı bu beladan? 
Demirci Mehmet’in aklına bir çare geldi. Yanındakilere: 
Benim dükkânda iki kalın demir levye var. Onları getirip kaldıraç gibi kullanalım, bir esnetir, bir yerinden oynatırsak aşağıya yuvarlayabiliriz, dedi. 
Hemen dükkâna koştular. Kocaman iki kalın levyeyi getirdiler. Kayanın sağ tarafındaki bir boşluğa soktular. Bastırdılar. Koca kaya bana mısın demiyor, yerinden kımıldamıyordu. Herkes ter içinde kalmıştı, yorulmuş bitmişti. Demirci Mehmet: 
Olmadı, bu yolla da kayayı yerinden oynatamayacağız, dedi. 
Başka yollar düşünmeye başladılar. Ne yapıp edip bu kayayı yerinden oynatmak zorundaydılar, köyün yaşlılarından Halil Ağa: 
Katırların gücünden yararlanalım, dedi. Bir urganla kayayı bağlayalım, katırlara çektirelim, böylece yerinden oynatırız. 
Köydeki katırların en güçlülerinden üçünü seçtiler. Kayanın gövdesine bağladıkları urganı katırlarla çektirmeyi denediler. Daha ilk zorlanışta urgan koptu. Bu da sonuç vermedi. 
Kalabalığın arasında Sessiz İsmail dedikleri genç bir köylü vardı. Konuşmayı sevmeyen, içine kapanık biriydi. Yanındakilere: Ben bir yol buldum, dedi. Onu deneyerek bu kayayı parçalarız. Bakın büyük bir ateş yakıp bu kayayı iyice kızdıracağız. Sonra üzerine kovalarca su atacağız. Kızgın kayaya soğuk sular dökülünce kayada yarıklar, çatlaklar oluşur. Böylece parçalarız.
 Sessiz İsmail’in önerisini tartıştılar. Sonunda denemeye karar verdiler. Kayayı tümüyle kuşatan büyük bir ateş yaktılar. Üç dört saat alevlerin içinde pişirdiler kayayı. Ardından tenekeler, bakraçlarla sular boşalttılar üzerine. Her su atışta kayadan “Cozz!” diye sesler çıkıyordu. Karanlık basıncaya değin sürdürdüler bu işi.
Ertesi sabah yine toplandılar. Gerçekten büyük çatlaklar açılmıştı kayada. Çatlaklara balyozlarla giriştiler. Kolayca parçaladılar kayayı. Parçaları sağa sola yuvarlayıp yolu açtılar. Herkes: 
Aşk olsun Sessiz İsmail’e, amma da akıllıymış, dediler. Hiçbirimizin düşünmediğini o düşündü.</t>
  </si>
  <si>
    <t>Bilmem adımı hiç duydunuz mu? Söyleyeyim duymadıysanız. Adım kelaynak. Kimileri çirkin bir kuş olduğumu söyler. Böyle diyenler, tüylerimin güneşte nasıl parladığını galiba hiç görmemişler. Görselerdi çirkin olduğumu söylemezlerdi. Aslında ben buna aldırmıyorum. Beni güzel bulsalar ne çıkar, çirkin bulsalar ne çıkar? Benim derdim başka. Hem de çok başka. 
Ailem dünyadan silinip yok olmak üzere. Böyle giderse soyum sopum kalmayacak. Adım bile unutulup gidecek. İşte benim derdim. Bundan daha büyük dert olur mu? 
Bir zamanlar bizim büyük, hem de çok büyük bir ailemiz vardı. Asya, Avrupa ve Afrika gibi büyük kara parçalarına yayılmıştık. Sayıca çoktuk. Bir havalandık mı ortalık kanat seslerimizden çınlardı. Ya şimdi? Söylesem belki de inanmayacaksınız yetmiş, seksen kadar kaldık. 
Bir kısmımız Fas’ta yaşıyor. Bana ve aileme gelince, yazın Türkiye’ye geliyor, yazı burada geçiriyoruz. Kaldığımız yerin adını da belirteyim: Fırat Nehri’nin kıyısında bir kasaba var, Urfa’nın Birecik kasabası. İşte bu kasabada kalıyoruz yazları. Daha doğrusu ölmemeye, yok olmamaya çalışıyoruz. Kış gelince de Afrika’ya göçüyoruz. 
Bizim sayımız niye azaldı? Niye hızla yok olmaya başladık? Bakın bunu anlatayım sizlere. Biz kelaynaklar ekinlere zarar veren çekirgelerle besleniriz. Bu yönden çiftçilerin en büyük yardımcısı sayılırız. Çünkü bizim avladığımız çekirgeler olsun, ekinlere zarar veren öteki böcekler olsun çiftçilerin korkulu rüyasıdır. Onlar ekinlere bir dadandı mı çiftçiler emeklerinin karşılığını alamazlar. İşte bunun için de çekirgelere, öteki zararlı böceklere karşı birtakım önlemler almaya başladılar. Bunun için de çekirgeleri, zararlı böcekleri öldürmek için tarlalarına zehirli ilaçlar attılar. Böcekler bu ilaçlardan zehirlendi. Biz de bu zehirli böcekleri yedik. Zehirlendik böylece. Pek çok arkadaşımız, soydaşımız bu yüzden öldü. 
Bilirsiniz doğadaki yaratıklar arasında güzel bir denge vardır. Her canlı varlığıyla başka canlıların yaşamına katkıda bulunur, daha doğrusu onlara yardım eder. Bir örnek vereyim. Güneş toprağa gömülen tohumun yeşermesini sağlar. Yeşeren tohum önce fidan, sonra ağaç olur. Ağaç yapraklarını döktüğü zaman, altında verimli topraklar oluşur. Bu toprakta bitkiler yetişir. Bitkileri yiyen koyunlar, etiyle, sütüyle insanın besin ve giyim ihtiyacını karşılar. Bitkiler kirli havayı temiz havaya dönüştürür. Ayrıca bu bitkiler otla beslenen kimi hayvanlara onlar da yırtıcı canlılara besin olur. Tarla farelerinin çakallara, çakalların kurtlara yem olduğu gibi. 
Doğadaki dengenin bozulduğunu bir düşünelim. Yaşamak çok güçleşir. Biz kelaynakları örnek vereyim yine. Bizim soyumuzun tükenmesi, yaşadığımız çevreye büyük zararlar verecektir. Çekirgeleri avlayamayacağımız için çekirge akınları başlayacak, bitkileri tüketecektir çekirgeler. Bitkilerin tükenmesi yaşamı etkileyecektir. Kısacası doğadaki dengenin bozulması insanoğlu için büyük bir tehlikedir. Yalnız insan için mi tüm varlıklar için. Benden, bir kelaynak’tan söylemesi...</t>
  </si>
  <si>
    <t>İkindiye doğru Mustafa’yla yola düşüp Göreme’ye geldik. Göreme’de peri bacaları ormanına düştük. Göreme, büyücek bir koyakta…
Bacalar ormanı alabildiğine uzuyor gibi. Buradan, bu oturduğumuz yerden bakınca bacalar ormanı hiç sonu yokmuş gibi görünüyor. Ormanda türlü şekiller... Kendini bir heykel ormanında sanırsın. Öylesine biçimler… Yürüyen, duran, hemen kalkıp koşacakmış gibi tetikte duran, uçmaya hazırlanan, at, insan, kuş, fil, türlü başlar… Saymakla bitmez… Halat çeken bir alay… Ata binmiş bir gelin… Gelin alayı… Bir büyü içinde kalıyor insan… Seyrederken bütün bunları, dünyayı unutuyorsun. Öteki, gerçek dünyayı, ağacı, kuşu, tarlası, evleri ile bıçak gibi kesip o dünyada hiç yaşamamışsın gibi, bu peri bacaları dünyasına kendini kapıp koyuveriyorsun… Belki asırlardır bu sarhoşluk içindesin. Dizlerinde derman kalmıyor hayretten. Başın dönüyor.
Varalım bir peri bacasının karşısında, bir metre kadar ötesinde duralım. Önce tepeden başlayalım. Tepede bir şapka var. Düşmek üzeredir. Bir iki ot vardır bazen üstünde. Rengi çoğu zaman koyu kurşunidir. Peri bacasının başka yerlerinden daha sert görünüyor. Granit sertliğinde. Onun için olacak, yağmurlar, seller önce tepeden yiyecekken, yiyememişler, şapka gibi başında kalmış. Sert. 
Şapkadan sonra bir kuşak geliyor. Ha biçimini söylemedim peri bacasının. Bir gaz hunisini al, ağzı aşağı yatır. Binlerce kere büyüt huniyi, işte sana peri bacası. Başına şapka da oturtmayı unutma.
Ağzı aşağı konulmuş huniler her zaman öyle düzgün değildir. Eğilmiş, bükülmüş, yana yatmış, türlü biçim almıştır her biri. Uzun sözün kısası her bir baca başka bir biçimdir. Hareket hâlindedir hepsi de… Uzun bir sefere çıkmışlar…
Bu türlü biçimlere, türlü hareketlere halk burada türlü efsaneler yaratmıştır. Maçan’daki bacalar ormanın efsanesi şudur:
Zamanında buralar güzel bir ülkeymiş. Bereket fışkırırmış topraktan. İnsanlar birbirlerini sayarlarmış, severlermiş. Fakiri fakir, zengini zengin değilmiş. Hırsızlık, katillik yokmuş. Üzümler ballı, buğdaylar taneliymiş. Bura halkının bir tek kaygısı varmış, o da ölümden… Bir kapalı 
ülkeymiş. O yüzden de kimler, kimsecikler yani istilacılar uğramazmış. Bu yüzden de askerleri azmış. Askeri ne yapsınlar! Yıllardan bir yıl, günlerden bir gün bakmışlar ki Maçan’dan beri yazıyı yabanı tutmuş bir ordu gelir. Yakıp yıkıp gelir. Asker yok karşı koyacak… Güzel ülke yakılıp yıkılacak. Bütün halk, gözleri yaşlı, toplanmışlar bir tepeye, gelenleri seyrederlermiş… Ne gelir elden! Ölümlerden ölüm beğen… Korkudan titrer, vaveylaları gökyüzünü tutarken bir bakmışlar ki önlerinden çekilip duran, az sonra ülkelerini darmadağın edecek ordu yerinden kımıldamaz. Aman bu nasıl iş? Gece olmuş ordu kımıldamamış, sabah olmuş gene öyle. Ertesi, daha ertesi gün ordu durup durur. Cesaret edip ordunun yanına varamamış kimse. En sonunda bir çoban değneğini havaya fırlatıp ‘‘Ölümse de ölüm. Ben varacağım duran ordunun yanına.’’ demiş. Koşarak inmiş koyağa. Varmış ki bir de ne görsün! Ordu tüm taşa kesmiş… Haber vermiş. Güzel ülkede toy düğün başlamış. Kırk gün kırk gece. 
İşte şimdi Maçan’da bir ordu, peri bacalarına kesmiş bir ordu donmuş kalmış. Yum gözünü ordu hareket edecek gibi. Mızrakları ellerinde, silahları bellerinde saf saf olmuş bir ordu.</t>
  </si>
  <si>
    <t xml:space="preserve">Samimilik demiyorlar mı, büyük bir söz ettiklerini, her işi ta kökünden çözümleyiverdiklerini sanıyorlar. Samimi olmak kolaymış gibi. Öyle ya aklınıza geleni daha doğrusu ağzınıza geleni söyleyi söyleyiverirsiniz, olur biter. İçinizden öyle doğmuş. Ya sizin içinizden saçma sapan şeyler doğuyorsa, karşınızdakinin onurunu kıracak sözler söylemek doğuyorsa, samimidir diye onları da mı beğenecek, onları da mı alkışlayacağız? 
Toplum hayatında kişiler birbirlerinden samimilik beklemezler, terbiye beklerler, nezaket beklerler, birtakım kurallara uyulmasını isterler. Mürailik edeceksiniz, düşünmediğinizi, inanmadığınızı söyleyeceksiniz demiyorum; ama aklınıza geleni şöyle iyice bir tartmadan söylemeye hakkınız yoktur. Yeryüzünde bir başınıza değilsiniz; başkalarının zevkini, hatırını da gözetmeniz gerekir. 
Bir gün bir mektup almıştım, okurlarımdan biri benim yazılarımdaki samimiliği beğendiğini bildiriyordu. “Acaba başka bir değeri yok mu benim yazılarımın? Bu okurum benim yazdıklarımda kendi işine yarayacak, hoşuna gidecek hiçbir şey bulamamış da onu söylemek mi istiyor?” diye içlendim, durdum. Samimilik arkasından koşanlardan değilim ben, kendimce önemli bulduğum birtakım işler üzerinde düşünürüm, düşündüklerimi de karşımdakilere bildirmek için Türkçede en iyi yolun bu olduğuna inanırım da onun için böyle yazarım. İnsan işini, sevdiği saydığı işini, içinden gelene bırakır mı? Ben de işim üzerine, yani yazarlık üzerine hayli düşündüm, türlü yolları denedim, bugünkü değişimi uğraşarak kurdum. Bunu övünmek için de söylemiyorum, yalnız kendimi yaradılışıma bırakmadığımın, yazarlığı küçümsemeyip onun gereklerine uymaya çalıştığımın bilinmesini isterim. 
Samimiliği yermeye, kötülemeye mi kalkıyorum? Hayır, bilirim onun büyük bir değer olduğunu. Ama nedir samimilik? Uluorta konuşmak mıdır? Değildir. Samimilik bence bir insanın bir iş üzerine iyice düşündükten sonra, canı pahasına da olsa savunmayı göze alarak ortaya çıkardığı kanısıdır. Değme babayiğidin harcı değildir bu. Doğruyu arayacaksınız, menfaatlerinizi, hatta duygularınızı aşacaksınız, toplumun size aşıladığı ön yargılardan silkineceksiniz, şu şöyle demiş, bu böyle demiş, aldırmayacaksınız; doğruyu bulduğunuzda içinize güven gelecek, o zaman söyleyeceksiniz. Ancak en büyüklerin erebildikleri bir hâldir bu. Andre Gide’i samimiliği için överler. Anlarım onu, hayatını bitmez bir savaş içinde geçirdi. Kendi kendisiyle dahi çarpıştı. İnanacağı, gerçekten inanacağı hakikati uzun uzun aradı. O uğurda ötekinden, berikinden ağır söz işitti; ondan da yılmadı, arkadaşlarından, dostlarından ayrıldı. Samimilik onun için aklına geleni, içinden doğanı yazmak değildi; uğraşarak, didinerek varılacak bir erek idi. Kitaplarını okuyanların çoğu onda bir yapmacık görürler, anlayamazlar. Elbette, samimiliği anlamak da kolay değildir. </t>
  </si>
  <si>
    <t xml:space="preserve">Serin karanlıkta uzun zaman nefesimi tuttum, bekledim. Sessizlik vardı, derin koyu bir sessizlik. Yalnız arada iki üç yağmur damlası düşüyordu, o kadar. Saçaklardan birinin altında, dizlerim karnıma çekili, pardesüme gömülmüş duruyordum... 
Raylar sakin, çelik şeritlerini uzatmış, yağmurdan cilâlı pırıl pırıldılar. Işıklar elektrik direklerinin ucunda titrek kımıltılarla uzaklara kadar gidiyorlar. Arasıra bir düdük sesi ve alaca bir buhar görünüp kayboluyor. Uzaklardan gelen bir koku ıslak ıslak yayılıyor. 
Tren istasyona gelmiştir. Yolcular, uykulu gözleriyle inerler. Hava sakin ve serindir. Bavullarıyla, çantalarıyla giderler. Yalnız oldu mu bir otel odası düşünürler. Kış günleri trenler sıcak olur, çekilmez. Baharda serinleşir, tenhalaşır. 
Karşı gelen birini kucaklamadım. Beni hiç yolcu etmediler, ama anlarım. Üç kişi olmalı fazla değil. Biri annem, öbürleri ortadan. Ellerini öpmeliyim, alnımdan öpmeliler. Bu arada bir tuzlu damla süzülmeli yanaklarımdan, çenemde durmalı, yahut burnumun ucunda durmalı, düşmemeli. Ama işte dedim ya, benim hiç karşılayanım olmadı. 
Bir kişi olsaydı, karım olurdu. Elinde buruşuk bir mendil, bir tek karanfil, aceleci ürkek beklerdi. Uzaktan görmesine bayılırım. Koşup gelmezdi, gösterişten hoşlanmazdı. Gözleriyle kucaklardı beni, kimse duymazdı. Omuzundan tutardım, çenesinden öperdim. Evimize doğru giderdik. Yağmur belki yağardı, belki yağmazdı. Yolda hiç konuşmazdık, bundan eminim. Yanımda, yapyakınımda giderdi, bir de elimi tutardı usulcana. 
Eğer tren gidiyorsa benim için, o zaman geride dururdum, ta geride. Şapkamı gözüme çekerdim, yine de tanırlardı. Bu kalabalık beni sıkardı, yalnızdım. Askerlere bakardım, tezkereci askerlere. Bir de gurbetçilere bakardım. Kalabalıkta bir çocuk bindirirdim pencereden, babası sağol derdi. Bir mahkûm getirirlerdi uzak dağ köylerinden. İpince, dal gibi bir oğlan. Jandarmalar ona acırdı, ben de acırdım… Kimseyi uğurlamadım. Bir tek babam gitti, bir daha gelmedi. Çocuktum, farkında olmadım. Çok hasta imiş bilmiyorum. Aklıma sadece kolundan tuttukları geliyor… 
İstasyonlarda dolaşmak, trenlerin gelip gitmelerine bakmak, bana neden iş oldu bilmem. Kalabalık desen, çarşı pazar dolu ama, yine istasyondaki kalabalık başka herhâlde. 
Bana öyle geliyor ki, istasyonda kucaklaşan insanlar daha bir yakın oluyor birbirine. El öpmeler, ağlamalar, nadiren sahte oluyor. İnsanlar birbirine yaklaşıp, birbirinden uzaklaşıyorlar. Birbirini anlamak orada mümkün, son söz orada söyleniyor. Boğazda düğümlenen şeyler tren kalksa da ardından bağırılıyor, yahut gözlere dolup usul usul boşalıyor. Yolcu artık gidiyor, bir daha görmemek doluyor insanın içine. </t>
  </si>
  <si>
    <t>Annem İstanbullu, babam Balıkesirli. Ben Ankara’da doğmuşum ama doğaldır ki ilk çocukluk yıllarımda, onların birbirinden çok da farklı olmayan kültür birikimleriyle beslenmişim. Ankara’nın yöresel aksanını, geleneksel davranışlarını edinmemiş olsam da övünçle “Ankaralıyım” derim. İlkokulu ve sonra beş yıllık Sanat Enstitüsünü orada bitirdim. Bütün çocukluğum çok sevdiğim Ankara’da geçti.
50’li yılların ortalarında İstanbul’a göç ettik. O günden bugüne değin içinde yaşadığım bu muhteşem kent, beni çok kısa zamanda bütün benliğimle içine alıverdi.
Tüm sanat dallarına olan sevgi ve ilgim, beni Güzel Sanatlar Akademisine yöneltti. Beş yıllık eğitim sürecinden sonra desinatörlük ve grafikerlik bölümlerini bitirdim.
Yıllar sonra çocuğum dünyaya gelince, çağdaş eğitimin vazgeçilmezi olduğuna inandığım çocuk edebiyatı ile ilgilenmeye başladım. O yıllarda ülkemde bu konuda büyük bir eksiklik olduğu bir gerçekti ve ben yazmayı seviyordum. Üstelik grafiker olduğum için resimli kitaplar da yapabilirdim, yapmalıydım çocuklar için.
İyi yetişmiş, her açıdan donanımlı çocukların, ülkemin ve dünyanın yarınlarını daha güzel yapacaklarına inandım hep. Çocuklara güzel kitaplar hazırlayabilmenin çok ciddi bir iş olduğuna inandım. Bu konuda başarılı olabilmek için çok çalışmak gerektiğini, dahası yaşamımı bu konuya adamak gerektiğini biliyordum.
İşte böylece başladım yazmaya. Bu nedenle, yaşım ilerlemiş olsa da bugün de çalışıyor, yeni şeyler öğrenmeye ve yazmayı sürdürmeye çalışıyorum
Okullara gittiğimde hep sorar çocuklar, “En sevdiğiniz kitabınız hangisi?” diye. Bu soruyu yanıtlamak çok güç. Birini ayırıp söylemem mümkün değil. Ama çocukluğumun anılarını öyküleştirdiğim “Mavi Boya” adlı kitabımı, her elime alışımda beni eskilere, taa çocukluğuma götürüyor. Zaten hep içimde olan çocukluğumun duygularını yeniden yaşatıyor bana. Bir daha asla ele geçmeyecek, bir daha yaşanmayacak çocukluğun değerini yeniden anımsatıyor.</t>
  </si>
  <si>
    <t>İnternet teknolojisinin gelişim göstermesi, akıllı telefon ve tablet kullanımının yaygınlaşmasıyla bireyler teknoloji bağımlısı durumuna gelmişlerdir. Teknoloji bağımlılığı en az madde bağımlılığı kadar tehlike arz edici bir durum olmakla birlikte zamanında tedavi edilemezse bireylerin psikolojik ve sosyolojik dünyalarını derinden etkileyebilmektedir. E-hastalıklar olarak da ifade edebileceğimiz psikolojik rahatsızlıklar dijital teknoloji ve sosyal medyanın ivme kazanmasıyla had safhaya ulaşmıştır. Dijital bağımlılık, başta teknolojik araç ve uygulamaların günlük yaşantımıza olumsuz etkilerini, Internet bağımlılığını, cep telefonu bağımlılığını, sosyal medya bağımlılığını ve dijital oyun bağımlılığını içermektedir.
Dijital çağın en yaygın e-hastalığı phubbing’dir. İngilizce “phone” ve “snubbing” kelimelerinin birleşiminden türeyen bu hastalık, akıllı telefon bağımlılığı olarak da bilinmektedir. Akıllı telefonlarını sürekli elinde tutan kullanıcılar, karşısındakinin söylediklerine odaklanmak yerine telefon ekranlarına dikkatlice bakmakta ve karşısındaki kişiyi önemsememektedir.
İşte bu durum phubbing hastalığı olarak ifade edilmektedir. Phubbing, FOMO "Fear Of Missing Out" adı verilen sosyal medya ve dijital ortamlarda olup bitenleri, haberleri, gelişmeleri kaçırma korkusu da phubbing hastalığını tetiklemekte ve bireylerin asosyalleşerek toplumdan kopmasına neden olmaktadır.
E-hastalıklar sosyal medya aracılığıyla giderek yaygınlaşmaktadır. Photolurking bu hastalıkların başında gelmektedir. Paylaşım içeriğini kimlerin beğendiğine bakmak ve profillerini görüntüleyip incelemek hem zaman kaybına neden olmakta hem de bağımlılık oluşturmaktadır. İnternetten sürekli hastalık belirtilerini arama ve tedavi yöntemlerini araştırma hastalığına ise “siberkondria” adı verilmektedir. Bu hastalığa yakalananlar her bir sağlık problemini internetten araştırmakta ve doktorlara itibar etmemektedirler. Bu durum önlenemez sağlık sorunlarına neden olmakta ve tedavi sürecini zedelemektedir. Keza elektronik uykusuzluk da birçok kullanıcının yakalandığı bir e-hastalıktır. Dinlenme saatleri esnasında bile akıllı telefonuyla, tabletiyle, bilgisayarıyla uğraşan kullanıcılar bu hastalığa yakalanmış demektir. Elektronik uykusuzluk, sağlık açısından da büyük sorunları beraberinde getirmekte sindirim sorunları, kronik yorgunluk ve büyük ağrılara neden olmaktadır.
Hayalet titreşim adı verilen fantom vibrasyon da cep telefonlarıyla yaygınlaşan bir e-hastalıktır. Telefonlarının çalmadığını, sürekli titrediğini hisseden kullanıcılar bu hastalığa yakalanmış demektir. E-hastalıklarla baş etmenin en temel yolu akıllı telefon orucudur. Akıllı telefon orucu, sosyal medyaya erişimi engelleyeceği için birey sosyalleşmeye daha fazla zaman bulabilmektedir. Elektronik herhangi bir cihazın kullanılmaması ise dijital detoks sağlayacak. Böylece birey dinlenerek mola verebilecektir. Keza bilgisayar ve internet kullanımının sınırlandırılması ve farklı saatlere kaydırılması da e-hastalık tedavisinde kullanılan bir diğer yöntemdir. Unutulmamalıdır ki e-hastalık özgüven ve dikkat eksikliği oluşturmaktadır. Özellikle Z kuşağının bireysel gelişimini olumsuz etkilemektedir. Dolayısıyla bu tür hastalıklara yakalanan bireylerin mutlaka tedavi sürecine başlaması gerekmektedir.</t>
  </si>
  <si>
    <t xml:space="preserve">Oksin hormonu bitkilerde büyüme ve gelişmeyi etkileyen en önemli hormondur. Gövde uç meristemi, kök ucu meristemi, genç yapraklar ve meyve gibi büyüme bölgelerindeki hücreler tarafından sentezlenir. Oksin hormonu; hücrelerde bölünme, büyüme ve farklılaşma olaylarını kontrol eder. Doğrudan ışık almayan bitki kısımlarında daha fazla sentezlenir. Bu durum, bitkide asimetrik büyümeye neden olduğundan yönelim olayına da sebep olur. Meyve vermede etkilidir, döllenmiş çiçeğin dökülmesini engeller. Bu hormon, bitkinin tepe tomurcuğunun gelişmesini sağlarken yan tomurcukların gelişmesini de engeller. Bitkinin köklenmesi ve köklerin farklılaşmasında rolü vardır. İletim dokusunun farklılaşmasını uyarır. Doku kültüründen yeni bitkilerin oluşmasında önemli rol oynar. 
Oksin hormonunun etkileri, çimen bitkisi üzerinde yapılan deneylerde gözlenmiştir. Çimen fidelerinin toprak üstünde kalan bitki sürgününün açılmamış olan yaprağını saran silindir biçimindeki kılıfa koleoptil adı verilir. Çimen bitkisinde yapılan deneylerde koleoptil ucu kesildiğinde ya da ışık geçirmeyen bir başlık ile kapatıldığında ışığa yönelim olmadığı gözlemlenmiştir. Koleoptil ucu ışığı geçiren bir başlık ile kapatıldığında ya da ucu açık bırakılarak koleoptilin diğer kısımları ışık geçirmeyen siyah bir örtü ile kapatıldığında ışığa doğru yönelim olduğu saptanmıştır. Işığın algılanmasından koleoptil ucunun sorumlu olduğu ve uç kısımdan kıvrımın oluşacağı alt kısımlara bazı sinyallerin gönderildiği sonucu çıkmıştır. Ancak daha sonra bu konu ile ilgili olarak yapılan deneyler, koleoptilin kıvrılmasında uçtan belirli uzaklıktaki hücrelerin de etkili olduğunu göstermiştir. Koleoptilin ucu, hücreler arasındaki teması kesen fakat kimyasalların geçişine izin veren jelatin bir blokla diğer kısımlardan ayrıldığında, bu fidelerin ışığa doğru kıvrıldığı görülmüştür. Buna karşılık uç, koleoptilin alt kısmından geçirimsiz bir madde ile ayrıldığında ışığa yönelmenin gerçekleşmediği görülmüştür. Işığın tek yönden geldiği durumlarda gövdenin ışık almayan tarafındaki hücreler su tutarak hacimsel büyümeyi sağlar. Bu hücreler aynı zamanda mitoz bölünme yaparak hücre sayısını artırır. 
Yapılan deneylerden de anlaşılacağı gibi bir bitkinin gövdesine tek yönden ışık verilecek olursa oksin hormonu doğrudan ışık almayan kısımda toplanır. Bu nedenle doğrudan ışık almayan bitki kısmında büyüme, ışık alan kısımdan daha fazla olur. Bitkinin ışığa yönelmesi bu asimetrik büyümenin bir sonucudur. 
Kök, gövde ve tomurcuk gibi bitki organları değişik oksin yoğunluklarında büyüme gösterir. Düşük oksin yoğunluklarında hızlı bir büyüme, yüksek oksin yoğunluğunda büyümede gerileme meydana gelir. Fazla salgılandığında büyümeyi durdurur. Az salgılandığında ise yapraklarda dökülme görülür. Sentetik olarak üretilen bazı çeşitleri yabani ot mücadelesinde kullanılır. </t>
  </si>
  <si>
    <t xml:space="preserve">Antik medeniyetlerdeki kabileler veya şehir devletlerinin başlarında kral veya feodal yöneticiler vardır. Bu yöneticiler merkezdeki büyük krala bağlıdır. Büyük kral; güçlü ve dirayetli bir kişiyse merkezî bir devlet yapısı oluşmuş, güçsüzse kabileler merkezden bağımsız hareket edebilmiştir. İlk Çağ’da bazı güçlü kralların kendi ülkeleri dışındaki yerleri ele geçirdiği ve farklı milletleri yönetimleri altına alarak imparatorluklar kurduğu da olmuştur. 
Madenleri işlemeye başlayan insanlar, taşa göre daha dayanıklı, sivri ve kesici silahlar yapmaya başlamıştır. At evcilleştirilmiş ve at arabası yapılmıştır. Zamanla bunları komşu devletlere üstünlük sağlamak adına savaş meydanlarında kullanan devletler, ordularının gücü nispetinde büyük topraklara hükmetmiştir. Bu devletler, farklı ırkları, milletleri ve kültürleri yönetimleri altında birleştirerek imparatorluk görünümü kazanmıştır. 
Kurak bir iklime sahip olan Mezopotamya, sulama kanalları aracılığıyla tarımın yapıldığı fakat hayvancılığın yapılabileceği alanların sınırlı olduğu bir coğrafyadır. Bunun yanında maden, kereste, taş gibi doğal kaynakların bölgeden uzak olması, medeniyetin gelişmesi için büyük bir eksikliktir. Ancak bütün bu eksiklikler toplumun daha iyi organize olmasını sağlamıştır. Bunun sonucunda Sümerlerde site olarak bilinen şehir devletleri ortaya çıkmıştır. Akad İmparatorluğu’nu kuran ve Mezopotamya’nın tümünü yönetim altında birleştiren Kral Sargon olmuştur. Ön Asya’nın dört bir yanına seferler düzenleyen Sargon, dünyanın bilinen ilk imparatorluğunu kurmuştur. Babil Devleti benzer bir yapıda olsa da iktidarı ele geçiren güçlü krallar merkezî otoriteyi daha da güçlendirmiştir. Bir diğer Mezopotamya medeniyeti olan Asurlular ise istilacı bir yapıya sahiptir. Mezopotamya dışında pek çok yeri yönetimine alarak imparatorluk görünümüne kavuşmuştur. 
Yunan medeniyetinin ortaya çıktığı coğrafya, dar bir sahil şeridine sahip olup yüksek dağlarla birbirinden ayrılmıştır. Bu nedenle Yunan coğrafyasında merkezî devletler kurulamamış, polis adı verilen şehir devletleri ortaya çıkmıştır. Atina ve Sparta gibi polisler arasında bitmek bilmeyen mücadeleler yaşanmıştır. Bu mücadelelerde ayakta kalabilmek için şehir devletlerinin ordularını güçlendirme çabaları, geniş kesimlerin siyasal haklar elde etmesinde ve siyasi yapının demokratik bir nitelik kazanmasında etkili olmuştur. Bu doğrultuda şehir devletlerinde kralın hak ve yetkileri meclisler tarafından kısıtlanmıştır. Buna karşın meclislerin yetkileri artmıştır. Artık saltanat olmaktan çıkan krallık, belirli bir sınıf tarafından seçilmeye başlamıştır. Böylece soylular, iktidarı ele geçirerek aristokratik yönetim anlayışını kabul ettirmiştir. 
Aristokratlar arasından belli bir zümrenin, krallığı yönetme hakkının kendilerinde olduğunu iddia etmesi ve yöneticilerin sadece o gruptan seçilmesi oligarşi denilen yönetim anlayışını doğurmuştur. İlk Çağ Yunan kentlerindeki bu seçim, cumhuriyet ve demokrasi anlayışının ilk izleridir. Ancak seçimlerde sadece belli kişiler aday olabilmiş ve halkın tamamı değil sadece soylular oy kullanmıştır. </t>
  </si>
  <si>
    <t>Geleneksel eğitim anlayışında eğiticinin anlattıklarını ya da gösterdiklerini öğrenmekle, uygulamakla mükellef olan öğrenci; günümüzde bilgiye kendisi erişen, bilgiyi yapılandıran, sürece aktif katılan profiliyle eğitimin ana unsuru hâline gelmiştir. Bu değişim de doğal olarak beraberinde eğitim süreçlerinde, etkinliklerinde ve faaliyetlerinde birçok köklü değişimi getirmiştir. Öğrencinin bilgiye kendisinin erişmesi ve sürecin merkezinde yer alması gerekliliği, yeni öğretim yöntem ve tekniklerinin işe koşulmasını gerektirmiştir. Dolayısıyla öğrencinin merkezde olduğu, eğitim öğretim sürecine aktif şekilde katıldığı faaliyetlere yönelme başlamıştır. Bu yönelme doğrultusunda tercih edilen yöntemlerden birisi de dramadır.  
Drama, çeşitli bağlamlarda farklı anlamlarda kullanılan, anlamı ve kökeni hakkında çeşitli görüşlerin olduğu bir kavramdır. Bu tanımları ve anlamları derlemek gerekirse dramanın kısaca; Yunanca yapmak, etmek anlamlarına gelen “dran” sözcüğünden türetilmiş, yaşamak ve oynamak anlamlarına gelen, içerisinde eylem bulunan her türlü etkinliği bünyesinde barındırabilecek bir kavram olduğunu söylemek mümkündür. Dolayısıyla dramanın yapmaya ve göstermeye dayalı, dramatik nitelikli faaliyetleri kapsayan bir olgu olduğu ifade edilebilir. Ayrıca alan yazında geçmişi 20.000 yıl öncesine dayanan şamanların dramatik niteliklerini vurgulayarak dramanın en eski kökenlerinden biri olarak Türk şamanlarını işaret eden çalışmalara da rastlamak mümkündür. 
Öğrencinin, eğitim öğretim faaliyetlerinin merkezine konumlandırıldığı yapılandırmacı yaklaşım ile birlikte öğrencilerin sürece aktif bir şekilde katılım sağladığı, yaparak ve yaşayarak öğrendikleri etkinlikler ön plana çıkmaktadır. Bu doğrultuda öğrencilerin derse ilgisini artırmak, yaparak yaşayarak öğrenmelerini sağlamak ve dersi eğlenceli bir hâle getirmek için yararlanılan drama etkinlikleri, son dönemlerde eğitimin her aşamasında etkili olabilecek bir yöntem olarak birçok disiplinde kullanılmaya başlanmıştır. Drama etkinlikleri, öğrencilerin dil ve iletişim becerilerini geliştirmeyi hedefleyen Türkçe dersi açısından da önemli bir yere ve işleve sahiptir. Çünkü Türkçe dersi, bir bilgi aktarma dersi değil aksine etkili deneyim ve uygulamalarla öğrencilerin becerilerini geliştirmeye yönelik bir derstir. Benimsenen eğitim felsefesinin yapabilirlik temelli olması da dramayı bu sürecin doğrudan bir unsuru hâline getirmektedir. Bu bağlamda belki de yaparak yaşayarak öğrenmenin en güçlü örneği olan ve en öğrenci merkezli yöntem olarak gösterilebilecek dramanın, yapılandırmacı yaklaşım ile oldukça uyumlu bir yöntem olduğu ifade edilebilir. Ek olarak drama yönteminin kullanımıyla yalnızca öğrencilerin keyifli vakit geçirmesi değil aynı zamanda birçok becerinin de gelişimi sağlanmaktadır. Bu konuda yapılan çalışmalar incelediğinde drama uygulamalarının; öğrencilerin okuma, yazma, konuşma, anlama, problem çözme, empati ve çeşitli durumlara ve kurumlara uyum sağlama becerilerini geliştirdiği görülmektedir. Bu doğrultuda drama faaliyetlerinin Türkçe dersi ile güçlü bir ilişkiye sahip olduğunu söylemek mümkündür. Çünkü Türkçe dersinin asli amacı, öğrencilerin dil becerilerini geliştirerek Türkçeyi etkili ve güzel kullanabilme yeterliliklerini geliştirmektir. Diğer yandan Türkçe dersinin amaçlarından bir diğeri de öğrencilere millî kültürümüzü tanıtmak, öğrencilerin millî kültürümüzü benimsemelerini ve korumalarını sağlamaktır.</t>
  </si>
  <si>
    <t>Postoperatif ağrı cerrahi travma ile başlayıp giderek iyileşen doku iyileşmesi ile sona eren, iatrojenik, göreceli olarak kısa süreli, genellikle iyi lokalize olmuş ve cerrahi travmanın derecesi kadar inzisyon tipi ve genişliği ile ilgili akut ağrı şeklidir. Her yıl milyonlarca hastaya cerrahi girişim uygulanmakta ve bu hastaların %80’ i postoperatif ağrı deneyimi yaşamaktadır. Bu hastaların da %86’sının ağrısının şiddetli ağrı olduğu bildirilmektedir. Açık kalp ameliyatı sırasında sternumun açılması nedeniyle, göğüs duvarındaki yumuşak dokular ve sinirler önemli derecede zarar görmekte ve cerrahi sonrası dönemde göğüs duvarında rahatsızlıklara sebep olabilmektedir. Ayrıca koroner arter bypass greft ameliyatları safen ven greftini de içerdiğinden, koroner bypass operasyonu olan hastaların özellikle postoperatif dönemin ilk haftalarında bacak postoperatif dönemin ilk haftalarında bacak insizyonuna bağlı olarak da ağrı şikayetleri olabilmektedir. Kalp ameliyatından sonraki ilk günlerde (1-3 gün) rutin olarak yoğun bakım kliniğinde kalan hastalar, yoğun bakımda kaldıkları süre içinde endotrakeal aspirasyon, entübasyon, öksürme gibi ağrının artması ile ilişkili olan rutin işlemler ve tedavi girişimleri ile karşı karşıyadırlar. Ayrıca açık kalp ameliyatı olan hastalarda göğüs tüpünün olması da postoperatif ağrıyı arttıran önemli bir etkendir. Son on yılda yapılan araştırmalarda, analjeziklerle tedavi yaklaşımına rağmen, hastaların çoğunun cerrahi sonrası ağrı şikayetinin olduğu bildirilmiştir. Kalp cerrahisinin yaygın olarak uygulanmasına rağmen, bu hastaların ağrılarının kritik postoperatif dönem boyunca yeterli değerlendirilmediği bildirilmektedir. Tedavi edilmeyen postoperatif ağrı, kronik ağrı problemlerine neden olabilmektedir. Postoperatif dönemdeki poststernal ağrının hastaların %28-40’ ında 1-3 yıl süresince devam ettiği bildirilmiştir. Doğru bir şekilde değerlendirilmeyen ve kontrol edilmeyen ağrının fizyolojik ve psikolojik sonuçları kalp cerrahisi sonrası iyileşmeyi olumsuz yönde etkilemektedir. Yapılan çalışmalarda, ağrı seviyesi ile postoperatif komplikasyonlar arasında paralellik olduğu bildirilmektedir. Kalp ameliyatı olan hastalarda ağrı ile ilgili yapılan çalışmalarda, endotrakeal tüp, aspirasyon, öksürük ve göğüs tüpü çıkarılma işlemleri ağrılı işlemler olarak tanımlanmaktadır. Milgrom ve ark. çalışmalarında ağrının en belirgin etkisinin hareketlilikte azalma olduğu ve hastaların ağrılarının hareket, öksürük ve yatak içinde dönme sırasında ağrılarının arttığını bulmuşlardır. Açık kalp ameliyatlarında postoperatif dönemde komplikasyon gelişimini önlemek hastanın iyileşmesini hızlandırmak için; hastanın erken mobilizasyonu, derin solunum ve öksürme egzersizlerinin uygulanması, ağrı kontrolünün yapılması önemli yer tutmaktadır. Postoperatif ağrı yönetiminde amaç, hastanın rahatsızlığını en aza indirme ya da ortadan kaldırma, yan etkilerden koruma, hastanede kalış süresini azaltma ve ağrıya yönelik yakınmaların tekrarlanmasını önlemektir.</t>
  </si>
  <si>
    <t xml:space="preserve">Böyle mi olacaktı, insanı sonsuz derecede mutlu kılan şey, aynı zamanda üzüntüsünün kaynağı mı olmalı?  
Canlı doğa yüreğimi yoğun ve sıcak duygularla doldurur, beni sevince boğar, etrafımdaki dünyayı cennete dönüştürürdü, oysa şimdi benim için dayanılmaz bir ıstıraba, her yerde peşimde olan işkenceci bir hayalete dönüştü. Eskiden kayanın üzerinde durup aşağıdaki ırmaktan yukarıdaki tepelere kadar uzanan verimli vadiye bakıp etrafımdaki her şeyin tohumdan çıkıp fışkırdığını görünce; eteğinden zirvesine kadar yüksek ağaçlarla yoğun bir şekilde kaplı o dağların hareketli kıvrımlarının o vadileri en güzel ormanlarla gölgelediğini görünce, sakin ırmak, fısıltı yayan sazların arasından aktığı sırada yumuşak akşam rüzgârının gökyüzünde bize doğru sürüklediği güzel bulutları yansıtırken; etrafımdaki kuşların ormanı canlandırdığını işitirken, milyonlarca sivrisinek sürü hâlinde güneşin son kızıl ışığıyla neşeli neşeli dans ederken, güneşin son titrek ışığı vızıldayan böceği içinde bulunduğu ottan çıkarırken, etrafımda uçuşan, hareket eden her şey dikkatimi toprağa yöneltirken, yosun benim sert kayamdan besinini alırken, çalılık kurak kumluk tepeden aşağıya doğru büyürken, doğanın özel, coşkulu, kutsal yaşamı gözlerimin önüne serilirken; her şeyi sıcak kalbime doldurur, bu kadar zenginlik karşısında taparcasına sevildiğimi hisseder, sonsuz dünyanın harika canlıları ruhumdaki her şeye hayat verirdi. Kocaman dağlar etrafımı kuşatır, uçurumlar önümde uzanır, yağmurların oluşturduğu dereler uçurumdan aşağıya akar, bulunduğum yerin aşağısındaki ırmaklar gümbür gümbür gürler, ormanın ve dağların tınısı duyulurdu; bilinmeyen güçlerin hepsinin toprağın derinliklerinde iç içe çalıştığını ve ürettiğini görürdüm; şimdi de toprağın üzerinde ve gökyüzünün altında çeşit çeşit canlı aileler kum gibi kaynıyor. Herkes ama herkes binlerce fizyonomik biçimle bir yere yerleşirken, insanlar da kendilerini evciklerinde güvenceye alıyor, birbirlerini sevip kolluyor ve kendi tarzlarında dış dünyaya hâkim oluyorlar! Zavallı budala, sen çok küçüksün, bu yüzden de her şeye çok dar bir pencereden bakıyorsun. Geçit vermez dağlardan, kimsenin ayak basmadığı ıssız yerlerden, meçhul okyanusun sonuna kadar Evreni Yaratan'ın ruhu esiyor ve o kendini hisseden ve yaşayan her toz zerresinden mutluluk duyuyor. Ah, bir zamanlar başımın üzerinden uçup geçen turnanın kanadında sonsuzluğun köpüklü kâsesinden kabaran o yaşam hazzını içime çekmek ve yüreğimin sınırlanmış gücüyle bir an için her şeyi kendi içinde ve kendisiyle birlikte ortaya koyan varlığın mutluluğunun bir damlasını yudumlamak için sık sık azgın denizin sahiline gitme arzusunu duyardım. 
Kardeşim, sadece o anları anımsamaktır bana iyi gelen. O tarif edilmez duyguları hatırlayıp yeniden ifade etmek çabası bile ruhumu yüceltiyor ve şu an içinde bulunduğum durumda duyduğum korkuyu ikiye katlıyor.  </t>
  </si>
  <si>
    <t>Her bireyin tabiat-ı insaniyesine uygun bir surette tanzim olunmuş olan ahlâk kaideleri, yalnız ferdin değil, umum cemiyetin saadetine matuf bir vaziyeti icbar eylemektedir. Zira cemiyet, fertlerin terbiye-i nefis ile istihsal ettikleri kemalatın bir tecellisidir ki bu hâl, milletlerin tekâmül ve terakkisinde esas teşkil eder. Şayet ahlâk-ı umumiyeye mugayir bir harekât-ı gayri meşru icra olunacak olsa, neticesi olarak cemiyetin intizamı bozulur ve ferdin saadeti dahi inkıta bulur.
Mamafih, insanoğlu her daim kendi maslahatını evvel emirde düşünmekle mükellef addedilmiş ise de bu maslahat, umumi bir muvazene ile telif edilmediği takdirde yalnız bir menfaatperestlik derecesine inhisar eder. Tanzimat-ı Hayriye ile tevsi edilmiş olan hukuk ve nizamlar, evvel emirde fertlerin hukukunu korumak, lakin aynı zamanda cemiyetin umumî refahını temin etmek üzredir. Bu nizamların muhafazası ise ancak fertlerin nizama riayetiyle mümkündür.
Bu bağlamda, maarifin irfan ile müşerref kılınması, ilim ve fennin neşrine gayret olunması, memleketin bir şiarı ittihaz edilmelidir. Lakin bu gayenin tahakkuku için evvelâ insan-ı kâmilin yetişmesi icap eder ki insan-ı kâmil, yalnız bilgi ve hüner ile değil, ahlâk ve fazilet ile de tezyin olunmuş olmalıdır. Bu tarz bir insan modeli, cemiyetin her tabakasında inkişaf eden bir refah ve huzur anlayışını tesis edecektir.
Bununla beraber, sanayi ve ticaretin dahi ahlâkî prensiplerle tevhit edilmesi elzemdir. Zira yalnızca ekonomik menfaatler üzerine bina edilmiş bir teşkilat, toplumu bölüp parçalayan bir unsur hâline gelir. İnsanın maddî inkişafı ile manevî tekâmülü arasındaki muvazene bozulursa, bu hâl cemiyetin çöküşüne sebebiyet verir.
Netice-i kelâm, insanlık, hem ahlâkî hem de ilmî sahada tekâmül etmedikçe cemiyet-i beşeriyenin saadeti tahakkuk edemez. Her fert, kendi vazifesini hakkıyla yerine getirdiği takdirde, cemiyet bir saat misali ahenkle işler. Lakin bu ahenk, yalnız bireylerin şahsî mesailerine değil, onların birbirleriyle olan ittifakına ve bir nizama uygun hareket etmelerine de bağlıdır. Bu nizama riayet edilmeksizin hiçbir medeniyet, sürekliliği ve istikrarı temin edemez.
Dahası, adaletin ve eşitliğin tesis edildiği bir nizamda, cemiyetin her tabakası arasında bir birlik ve beraberlik hâsıl olur. Böyle bir cemiyet, hem dünya hem ahiret saadetine nâil olur. İnsanın, kendi menfaatlerini umum menfaatlerle tevhit ederek hareket ettiği bir sistem, yalnızca bugünü değil, istikbali de teminat altına alır. Tanzimat-ı Hayriye'nin esas gayesi de budur ki bu esas, yalnız kanunlar ve kaidelerle değil, toplumun bütün fertleri tarafından anlaşılıp benimsenmesiyle kâimdir.</t>
  </si>
  <si>
    <t>Memleketimizdeki erbâb-ı cesaret ü hürriyete malumdur ki, Şura-yı Ümmet yedi seneden beri Mısır’da, Paris’te istihsal-i meşrutiyet ve tahlis-i vatana hasr-ı hayat eylemiş bir mücadele gazetesiydi. Cihanın en büyük cemiyeti olan İttihat ve Terakki cemiyetinin bugün vasıta-i neşr-i efkârı olan Şura-yı Ümmet İttihat ve Terakki cemiyeti altı kişiden ibaret olduğu zamanda da yine o hizmet-i mübecceleyi ifâ ederdi. Eyyâm-ı âlâm-ı gurbette îrâs olunan müşkilâta, dûçar olduğu mevânie, mesâibe karşı hiçbir gün fütur getirmedi, milletlere târi devâhinin en müthişlerinden olan yeise o, hiçbir zaman düşmedi, her mânia, gayretini teşdîde, her felâket azm ü cezmini tecdîde sebep olurdu. Vatanın bu gazetesi, vatanla beraber en ziyade acz ve zaafa düştüğü zaman ki, Mısır’dan Paris’e nakledilerek litoğrafya ile neşre mecbur olmuştuk; mürettibimiz havasız bir bodrumda çalışmaktan hasta düşmüş, diğer refikimiz kendisine ameliyat icrasına mecbur kalmış, velhâsıl yeis etrafımızı sarmış olduğu o zamanda, Afrika’da tulû ederek mağribde hicran ve nisyan bulutları arasında ufûl ediyor görünen Şura-yı Ümmet, karîben vatanımızda envarı dehâ-yı ümitten, ziyâ-yı icâz-nümâ-yı hürriyetten alınmış bir güneş gibi çıkacağına itikadımız var demiştik. 
Zalâm-ı ye’se karşı nâçiz kalbimizi değil, ümidimizi, azm ü cezmimizi gösteren bu teşbihe belki yıldızların ufuklara kadar dokunduğu gecelerde zemin ile rabıtası kalmayan İstanbul’un yalnız Osmanlıların değil, biraz da semanın pâyitahtı olmasından hatırımıza gelmişti. Şura-yı Ümmet nasıl bahtiyar olmasın ki, İstanbul’un birincisiden şanlı olan ikinci kısmında pâyitaht-ı hürriyette intişara başladı. 
İstanbul’un birinci fatihi cennet mekân Sultan Mehmed Han, ikinci fatihi sultan-ı hürriyet! 
Şura-yı Ümmet bir hâl-i elîm-i tedennide bulunan memleketimizde, Avrupa’yı taklit ve istinsahtan değil, vatanımızın hava ve nurundan, milletin kalp ve ruhundan bir medeniyet-i Osmaniye vücuda gelmesine tarafdardı. Bundan sonra da o maksadı takip edecektir. 
Milletlerin bâis-i saadet ü şevketi olan ticaret ve sanat, hattâ ziraî olan memleketimizde ziraat, erbâbı-ı hamiyeti dâğdâr edecek bir dereye, küûlle zehirlenmemiş bir gençlik, dinçlik ve inkılâb-ı ahîrimizin gösterdiği üzere satvet-i kalb, ulüvv-i cenab, kıyametlere dehşet verecek azm ü cezm-i sâkitâne, mertlik, sabır, saygı, şedâid-i tabiata karşı mukavemet gibi en büyük kuvâ-yı maneviye hamiyetle, ilim ve zeka ile istimal edilirse dünyanın en sâlim, en şevketli milletlerinden biri olur. 
İşte bütün mesaî, bütün fikirler bu maksada matuf olmalı. Basra Körfezi’nden Adriyatik Denizi’ne kadar imtidad eden bir saltanat-ı azîme bizi bekliyor. Bütün akvam-ı Osmaniye el ele vererek alnımız açık, gözlerimiz ufk-ı istikbale mansûb olarak ilerleyelim. Eğer istersek istikbal bizimdir.</t>
  </si>
  <si>
    <t>Milletimizin akvam-ı cihan arasında ulüvv-i cenab ile, vefadârlık ile mümtaz olduğunu kimse inkâr edemez. Şu inkılâb-ı ahîrde gösterdiği ulüvv-i cenab, ne bir fikr-i siyasî, ne bir icab-ı meslek, ne muktezayı zaman netâyicindendir. Bir sevk-i tabiî, bir nişane-i ruhtur. Osmanlı ruhunun mehîb ve müthiş, amîk ve âli bir heyecanı olan inkılâb-ı ahîrde o ruh bütün ânâtıyla, olduğu gibi, her türlü şâibeden, zerrât-ı tesettürden âri olarak göründü. Onu görür görmez vicdanü'l-bâni meftun ve meshûru oldu. Bir deha nedir, ani bir görünüş! Nazar-ı insanînin nüfuz edemediği serâir-i amîka içinde mestur olan ruh ve kalp ne zaman görünür? An-ı heyecanında!...  
Şimdi vicdan-ı beşer nasıl oluyor da bu milletin en bülent kemalâtı iktisaba, en âli bir istikbale namzetliğini itiraf eylemez. Evet, evsaf-ı ahlâka mâlik olan bir millet hiçbir zaman mahvolmaz. Bir kere düşünülsün, bu evsaf-ı maneviyeyi hâiz olan bir milletin riyâset-i idaresinde bulunacakların daha yeni uyanmaya başlayan efkâr-ı umumiyeyi, önündeki uçurumları göstererek vâsi ufuklara doğru imâle edeceklerin ne derecelerde ahlâk-ı fâzılaya temellük etmeleri lâzım gelecek. 
Hiç şüphe etmeyerek söyleyebiliriz ki, ilim ve marifette ve binaenaleyh sanat ve ticarette pek dûn bir mertebede isek de, insaniyette her milletin mâ-fevkindeyiz. 
Osmanlıların bu kuvâ-yı âliye-i maneviyesini, vicdan-ı pâk ile, tecrübe ve hamiyetle, liyakat ve zekâ ile idare etmelidir ki, bu anâsır dünyaya bir medeniyet-i mahsusa-i Osmaniye göstersin. Her tarafı mamur ve mesut bir saltanat-ı azîme hayat-ı taze bulsun. Zira zekâ ve namusa mukarin olmayan kuvvetler heder olur. Hüsn-i idare olunmayan anâsırdan istifade edilmez. Bugün arasında bulunduğumuz en büyük akvam bile hâlâ ilm-i hayvanâta ait bir fasıl olması lâzım gelen "mübareze-i hayat" ı lâzime-i insaniyet addediyor. Medeniyetleri para üzerine müesses olan Avrupalıların bu gîrüdârı arasında biz bir saf bir gönül, mütevekkil bir hâlle nasıl durabiliriz? Haricen bir müşkile uğradığımız zaman en ileri gelenlerimiz bile diğer devletlerin politikasına, ittihaz edeceği tedâbire hasr-ı efkâr eyliyor. Elli altı sene evvel bizimle beraber o zamanki düşmanımıza karşı bir safta muharebe eden devletlere halkımızın vefa ve şükrü, emniyet ve itimadı fevkalâde bir derecede! Zamanla ve belki saatle değişen politikayı, hissiyâtına tâbi olarak yarım asır evvele ircâda ısrar eyliyor, bu hâl o dereceye gelmiş ki, bir hadise-i hariciye zuhurunda hemen herkes hattâ re’s-i idarede bulananlar bile bilâ-ihtiyar, bakalım filan devlet ne diyecek, ne yapacak diye düşünüyor. Hâlbuki devletler arasındaki dostluk tamamiyle kuvvet ve menfaat üzerine müessestir. Devletler arasındaki dostlukta hissiyât-ı vefa vü mürüvvet olmadığını bir an nisyân etmemelidir. Hiçbir devlet umûr-ı siyasiyede, icraâtında, ahval-i idaresinde düvel-i ecnebiyenin muâvenetine istinat etmez.</t>
  </si>
  <si>
    <t>Kan ve kardeş kelimeleri size neyi hatırlatıyor? Aklıma “kan kardeşi” sözü geliyor ister istemez. Peki, ne demek kan kardeşi?
Aynı yaşta iki kız ya da erkek, hayatlarının bir döneminde, yaşadıkları sürece birbirlerine kardeşçe davranacaklarına söz verirler ve birbirlerini kardeş gibi koruyup kollayacaklarına ant içerler. Kesilen parmaktan çıkan kanı birbirine sürüp “böylece kardeş olduk” derler. Bu basit törenden sonra kan kardeşleri, gerçek kardeş olmadıkları hâlde birbirlerine sanki kardeşmiş gibi davranır, verdikleri bu sözü de yerine getirmeye çalışırlar.
İşte bu şekilde kan kardeşi olunur. Çocukken yapılan bu anlaşmaya Türk kültüründe “ant içmek” denir. İki insanı kardeş gibi birbirine bağlayan bu gelenek artık hatıralar arasında yerini aldı. Bugün ismini bile kullanan çok azaldı.</t>
  </si>
  <si>
    <t>Emine Hanım sabah uyanınca elini yüzünü yıkamak için banyoya girmiş. Kapıyı açar açmaz banyodan sular gelmeye başlamış. Gece su borusu patlamış ve banyoyu su basmış. Hemen tamirci çağırmış. Adam gelince Emine Hanım banyoyu göstermiş ve tamirci işe koyulmuş. Tam banyoya yeni su boruları döşeyeceği sırada elektrikler kesilmiş ve tamir işi yarım kalmış. Öğleden sonra elektrikler gelince tamirci de tekrar gelmiş ve boruları döşemiş. Tamir işi bitince Emine Hanım evi temizlemeye başlamış. Temizlik bittiğinde çok yorulmuş. Akşamüstü tam üstünü değiştireceği sırada kapı çalmış. Kapıyı açmış, o da ne! Emine Hanım gözlerine inanamamış. Eşi Metin Bey yemeğe misafir getirmiş. Emine Hanım onları görünce çok utanmış ve misafirleri salona oturtup hemen üzerini değiştirmiş. Mutfağa girer girmez daha önce hazırladığı mantıları buzluktan çıkarmış ve haşlamış. Telaşla masayı hazırlamış, mantıyı pişirip yoğurtla karıştırmış ve tuzunu, baharatlarını ekleyip ikram etmiş. “Çok şükür, yemek işi de tamamdır” diye düşünerek sandalyesine yorgunlukla çökmüş. Mantının tadına bakan misafirlerin şaşkın bakışlarıyla kendine gelmiş. Metin Bey eşine dönerek, gelirken arkadaşlara “Tanrı misafirimiz olun, biz ne yiyeceksek paylaşırız, dedim. Onlar da misafir umduğunu değil bulduğunu yer dediler. Ellerine sağlık ama hiç bu kadar tatlı bir mantı yiyeceklerini düşünmediler sanırım.” demiş. Emine Hanım bir kaşık mantı alıp tadına bakmış ve yer yemez telaştan mantıya tuz yerine şeker kattığını fark etmiş. O da gülmeye başlamış ve “Tatlı yiyelim, tatlı konuşalım dedim ama galiba lokantadan lahmacun isteyeceğim. Yemekten sonra tatlı yerine mantıya devam ederiz.” demiş. Masada herkes kahkahalarla gülmeye başlamış.</t>
  </si>
  <si>
    <t>Virüs denince aklınıza bakterilerden bile küçük varlıklar geliyor olabilir. Ama bazı virüsler bazı bakterilerden çok daha büyük olabiliyor.
Mimivirus ile tanışın. Sıradan bir virüs sadece yirmi ila otuz nanometre büyüklükteyken ilk keşfedilen dev virüslerden olan mimivirus, yedi yüz nanometre bir çapa sahip. Yani ortalamanın iki katı. Ama bugüne kadar keşfettiğimiz en büyük virüs mimivirus değil. Mesela iki buçuk milyon nükleotitlik bir genoma sahip olan Pandoravirüs salinus ortalamada bin nanometre çaplık bir oval şeklinde. Bitmedi. Siberya permofrostunda donmuş olarak keşfedilen pithovirus sibericum, bin beş yüz nanometre büyüklükte ve altı yüz on bin nükleotitten oluşan bir genoma sahip. Ama hiçbiri megaklothovirüs horridgeinin yanına bile yanaşamaz. Spadella cinsi ok solucanlarını enfekte eden megaklothovirüs tam dört bin nanometrelik çapa sahip. Ortalama bir bakterinin iki bin nonometre büyüklükte olduğu düşünülürse bunlar cidden dev virüsler.</t>
  </si>
  <si>
    <t>An itibariyle ellik ve orak sezonu açılmıştır. Şimdi ellik ve orağın ne işe yaradığını bilmeyenler için amme hizmeti. Tarlada traktörün giremediği yerlere biz bunlarla giriyoruz. Hassas ve narin parmaklarımıza elliklerimizi geçiriyoruz. Normalde içine ot da koyarlar ama ben tercih etmedim. Orağın nerede olduğu zaten her zaman bellidir. Tüm bu işleri düşününce insanın şöyle ensesinden orağı bir cart diye çekesi geliyor. Dişil enerji falan dedim pembe giydim onun da düğmesini yanlış iliklemişim. Her neyse şimdi elliğin ne işe yaradığını göstereceğim. Arpa ve ekini orakla biçerken aşağıdan parmaklarımızı orak bir anda koparmasın diye. Çünkü seneye de lazım olabilirler. Parmaklarım ilk günden su koyverdiler. Ağlayacaksanız oynamayalım. Sadece parmaklarım değil çorap da ilk günden istifasını verdi. Bu yaz zor geçecek gibi. Ayaklarımızdaki pıtırıkları temizledikten sonra şimdi traktörle biçme zamanı geldi. Öyle bir tarla ki böbrek taşını bırakın böbrekleriniz bile düşürürsünüz. Ben de şimdi galiba bayılacağım.</t>
  </si>
  <si>
    <t>Dünyada birbiriyle aynı olan iki insanın olmadığına inanmışımdır. İki insanın parmak izleri, dudak izleri, ses izleri eşleşmez. Birbirinin aynı olan iki ot ya da iki kar tanesi yoktur. Her insanın farklı olduğuna inandığım için aynı yiyecekleri tüketmelerinin mantıklı olmadığını düşündüm. Her insanın farklı bir bedende farklı yetenekler, zayıflıklar ve besin ihtiyaçlarıyla var olduğunu gördüm. Sağlıklı kalmanın ya da hastalıklardan kurtulmanın tek yolu, o hastaya ihtiyacı olanı vermektir.
Kan grubunuz; sağlık, hastalık, uzun yaşam, fiziksel ve duygusal gücün gizemlerini aralayan bir anahtardır. Hastalıklara duyarlılığınız, hangi yiyecekleri tüketmeniz, nasıl egzersiz yapmanız gerektiğini kan grubunuz belirler. Enerji seviyelerinizi, kalori yakma yeterliğinizi, strese karşı verdiğiniz duygusal tepkiyi, hatta belki kişiliğinizi belirleyen bir faktördür.
Beslenmeyle ilgili araştırmalarda hastalıklardan kurtulmada bu kadar çok çelişki olmasının bir sebebi vardır. Bazı insanlar belli bir diyetle rahatça kilo verirken bazılarının verememesinin, bazıları yaşlılıkta da enerji ve sağlıklarını korurken bazılarının zihinsel ve fiziksel açıdan çökmesinin de bir sebebi olmalıdır. Kan grubu analizleri, bize bu çelişkileri açıklama fırsatı verir. Bu bağı keşfettikçe analizler daha geçerli hâle gelir.
Kan grupları, yaratılışın esasıdır. Doğanın olağanüstü mantık zincirinde kan grupları, insanın yaratılışından günümüze kadar hiç bozulmadan gelen bir yolu izler.
Bugün kan grupları, sağlıklı olma yolunda en önemli sırları açığa çıkaran hücresel parmak izleri olarak kullanılır.
Kan grupları, her insanın farklı bir birey olduğunu kesin surette belirleyerek genetik bilimini bir adım daha ileriye götürür. Doğru ya da yanlış beslenme biçimi diye bir şey yoktur. Sadece bireysel genetik kodlarımıza göre yapılmış doğru ya da yanlış seçimler vardır.</t>
  </si>
  <si>
    <t>Evren on üç nokta sekiz milyar yaşında. Da nereden biliyoruz? Birkaç farklı metodu bir arada kullanarak. Her şeyden önce büyük patlamadan sonraki üç yüz seksen bin yılda evren hala öylesine sıcaktı ki elektronlar, atomların etrafına hapsolamıyorlardı. Serbest bir şekilde dolaşabiliyorlardı. Yani evren koca bir plazma gibiydi. Bu serbest elektronlar yüzünden fotonlar, yani ışık da pek uzağa gidemiyordu. Hemen her yönde bir elektrona çarpıyordu. Ama uzay zaman dokusu genişledikçe evren soğudu. Ve üç yüz seksen bin yıl civarında ilk kez iki bin yedi yüz otuz santigrat derece civarlarına düştü böylece elektronlar, proton ve nötronlardan oluşan atom çektirdiğinin etrafına hapsolmaya başladılar. Ve fotonlar da daha uzak mesafeleri katedebilmeye başladılar. İşte büyük patlamadan sonra serbest kalan bu ilk fotonların evrene dağılımı, yani kozmik mikrodalga artalan ışıması veya kısaca CMB, evrenin başlangıcından bu yana nasıl değiştiğini gösteren bir fosil kaydı görevi görüyor. Ve evrenin fiziğine bakarak geliştirdiğimiz lamda CMB kozmonoloji modellerimiz eğerse doğrularsa büyük patlamadan bugüne kadar CMB’de yaşanan değişimleri hesaplayabilmeliler ve hesaplayabiliyorlar da. İşte bu hesaplamaların doğru fiziği ürettiği tek süre on üç nokta sekiz milyar yıl civarına denk geliyor. Tesadüfe bakın ki Evrene serpilmiş olan yıldızların doğumundan ölümüne kadar hangi basamaklardan geçtiğini gayet iyi biliyor olmamız sayesinde elde ettiğimiz verileri, ölmüş yıldızların artıkları olan beyaz cücelerin oldukça öngörülebilir bir hızda soğumasından gelen verilerle birleştirdiğimizde bunları da radyoaktif elementlerin yarılanma ömrü sayesinde hesaplayabildiğimiz toplam ömür verileriyle bir arada değerlendirdiğimizde bunların hepsi on üç, on dört milyar yıllık bir ömre işaret ediyor. İşte bu farklı veri hatlarının hepsinin aynı süreyi vermesi evrenin yaşı konusunda bildiklerimizi olan güvenimizi artırıyor.</t>
  </si>
  <si>
    <t>Yazı, bir iletişim aracıdır. Dile dair görsel işaretlerin kullanıldığı, belirli bir yapıya sahip, sesleri ve sözleri temsil eden sembollerden oluşur. Buna göre yazı, düşünceleri değil dili temsil eder ama yazıya bir anlam yüklenerek duygu ve düşünceler anlaşılır. Dil, bilindiği gibi seslerden meydana gelmiştir. Sesler de konuşma yoluyla hece, kelime ve cümleleri kurarak dili ortaya koyar. Bunların birer işaretle karşılanması, dilin yazıyı kullanması demektir. Yazı, çok farklı ihtiyaçlara göre kullanışlı, her zaman geçerli ve ekonomik olmak üzere geliştirilmiştir.
Söz kalıcı değildir ama yazı, somut bir varlık olarak sonsuza kadar korunabilir. Konuşma ve yazma, dilin kullanımının iki göstergesi olarak o dilin yapı özelliklerine bağlıdır. Bundan dolayı, bir yazı, o dilin ses yapısı bilinmeden doğru olarak okunamaz. Çünkü yazı bir dildeki seslerin hepsini birebir karşılamaz ve işaretler dilin ses değerlerine göre okunur.
Yazı dili, bir toplumda farklılıklar gösteren ağızlardan birine dayanır. Bu ağza eğitim dili, edebî dil, yazı dili gibi adlar verilir. Bundan dolayı bir toplumda konuşma dili ile yazı dili her zaman aynı olmaz. Yazı dili, genellikle o ülkenin kültür merkezinde konuşulan dildir. Bu bakımdan Türkiye Türkçesinin yazı dili, İstanbul’da konuşulan Türkçedir. Buna İstanbul Türkçesi de denir.
Elimizdeki bulgu ve bilgilere göre bilinen en eski yazı sistemi Sümer yazısıdır. Sümerler yazıyı, tapınak ve depolardaki malları kaydetmek için kullanmışlardır. Bu sırada, kayıtları tutanların adlarını da yazma ihtiyacı ortaya çıkmıştır. Bunun üzerine kişilerin adlarındaki hecelerin resimleri birer nesneye benzetilerek çizilmiştir. Zamanla, adlardaki hecelerin resimleri, bu hecelerdeki sesleri de karşılamaya başlamıştır. Böylece bütün kelimeleri bu işaretlerle yazıya geçirme imkânı doğmuştur. Yazı, bir sistem olarak ilk defa Sümerlerde görülse bile zamanla birçok medeniyette farklı şekillerde ortaya çıkmış ve kullanılmıştır.
Çoğu tarihçiye göre tarih, yazının bulunup kullanılmasıyla başlar. Çünkü kayda alma, kayıt tutma yazıyla başlamış, bu kayıtlar günümüze kadar gelmiştir.</t>
  </si>
  <si>
    <t>Hocam peki partinin isminde sosyalizm geçiyor işte nasyonal sosyalist işçi partisi olarak ama Hitler sosyalist miydi?
Ya abi defalarca cevapladık ama bu sefer daha detaylı cevap vereceğim. Birincisi kapitalizmle liberalizmi, neoliberalizmi karıştırmamak lazım. Bir insan kapitalizmle ilgili belli eleştiriler getiriyorsa hemen sosyalist olmaz. Şimdi neoliberal olmayan her şey sosyalist değildir yani. Sen bu kadar sağdaysan yani anlatabildim mi? Bu hani çok fundamentalist dindar bir grubun herkesi kafir sayması gibi bir şey. Tamam mı yani? senin duyduğun böyle anormal liberal bir noktada bulamadığın herkese sosyalist diyorsan bilemem ama sosyalizm bu değil. Şimdi sosyalizmde belli elementler var, burada yok. Bir Hitler bir kere sendikaları yasakladı tamam mı? Yerine işveren sendikaları işte işçi cephesi diye bir şeyde buluşturdu. İki, Hitlerin tarih okuması ırklar üzerindendir. Sınıfı reddeder. Kapitalizmi eleştireceği zaman da sınıfı reddeder. Tamam mı? Sınıfı reddeden, toplumsal sınıfları reddeden bir sosyalizm olmaz. İkincisi milliyetçidir. Enternasyonal değildir. Normalde bizim dünyayı anlamak için sosyalizmde kullandığımız kavramlar evrenseldir. Çin'de ve Türkiye'de değişmemesi lazım. Bunda yerel. Milliyetçidir yani. Milliyete, o milliyete özeldir. İkincisi seçim öncesi sanayicilerden çok destek almıştır. Hatta 1933 seçimlerinden sonra bir sürü borcu var. O borca şeyler kapatıyor. İş adamları kapatıyor. Hatta meşhur bir mektup var, 22 kişi imzalıyor onu. Altta da ismini yazarım. Yani endüstriden, bankalardan falan 20 kişinin imzaladığı şey var. Alman sanayicileri buna bir araba para yardımı yapıyor. İşte bütün Alman bürokrasisi arkasında falan filan duruyor. Ya Prusyalı toprak ağlarının topraklarına bile dokunmadı. Bu nasıl sosyalizm? Yani bir toprak reformu dahi yapmadı. Şimdi peki bu nereden geliyor? Abi böyle bir teori var. Buna at nalı teorisi diyoruz. Bunu buldum. Jean Pierre Fey diye bir adamın bu teoresi entrodüksiyon Totalitierre Totaliter dillere bir giriş diye bir kitap. Buna diyor ki far rightla en uç şeyle far left, yani aşırı sağ ve aşırı sol bir at nalındaki gibi bir noktada birleşir. Aslında orada anlattığı gene eksepsiyon olan bir sistemi alıyor. O da nedir, Liberal demokrasi. Ona uzak olan her şeyi aynı kefeye koyarsan evet abi bunlar totaliter. Yeri gelmiyor Revolüsyoner. Toplum müdahaleci, devrimci de olabilir. Sağ devrim de olabilir. O anlamda ortak özellikler taşıyabilirler. Ama bu ne bileyim yani iki gözü ve bir burnu olması gibi çok temel özellikler de olabilir ya. Aslında sen orada aldın dünyada tek başına bırakıldığında çok az yerde çıkan liberal bir demokrasi üzerinden alırsan sonra ona benzemiyor. Ama hiç alakaları yok. Aralarında dağlar kadar fark var. Milliyetçi, enternasyonalist. Irk nazizmde toplumsal sınıf. Estetiğin politize edilmesi, politiğin estetize siyasetin estetize edilmesi. Farklı. Tamam mı, bunların hepsi birbirinden farklı şeyler. Dolayısıyla belli şeyler ortak olabilir. Ama Hitler'in sosyalizmi aslında şudur abi. Bütünün bireyin hayatına müdahaleye alıp bütün toplumun bireyi çekip çevirmesi, onun da ilgilenmesi gibi bir şeyi yani Hitler'in sosyalizmden anladığı bu. 
Bu benzerlik kurmak için de çok gevşek bir zemin 
Abi olur yani. Benim size dediğim gibi işte. Ben ne bileyim Ayşe ile benziyorumdur çünkü iki gözüm ve bir burnum vardır. Ama birimizin kadın birimizin erkek olduğu gerçeğini değiştirmez. 
Bu çok söylenir. Sağcılar da söyler zaten bunu. Hep nasyonal sosyalist olduğu için adı sosyalist diye 
Ama ama nasyonal sosyalizmin sosyalizmi nereden geliyor? İki şey var. Bir kere sosyalist demeden oy alamazsın. 1920'de büyük bir kriz var. Herkes sosyalizme, işçilerin şeylerine ilgi göstermek zorunda. Ama naziler öyle işçi sınıfı içinde çok ilerleyemiyor.</t>
  </si>
  <si>
    <t>BERT</t>
  </si>
  <si>
    <t>TF IDF</t>
  </si>
  <si>
    <t>Bağdaşıklık/Tutarlılık</t>
  </si>
  <si>
    <t>OSU</t>
  </si>
  <si>
    <t>ATEŞMAN</t>
  </si>
  <si>
    <t>ÇETİNKAYA</t>
  </si>
  <si>
    <t>Bezirci Yılmaz</t>
  </si>
  <si>
    <t>Hece</t>
  </si>
  <si>
    <t>Sözcük</t>
  </si>
  <si>
    <t>Toplam Cümle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</si>
</sst>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Times New Roman"/>
      <family val="1"/>
      <charset val="162"/>
    </font>
    <font>
      <sz val="10"/>
      <color rgb="FF000000"/>
      <name val="Times New Roman"/>
      <family val="1"/>
      <charset val="162"/>
    </font>
    <font>
      <sz val="10"/>
      <name val="Times New Roman"/>
      <family val="1"/>
      <charset val="16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xf numFmtId="0" fontId="1" fillId="0" borderId="0" xfId="0" applyFont="1"/>
    <xf numFmtId="0" fontId="2" fillId="0" borderId="1" xfId="0" applyFont="1" applyBorder="1"/>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3" fillId="0" borderId="1" xfId="0" applyFont="1" applyBorder="1" applyAlignment="1">
      <alignment horizontal="left" vertical="top"/>
    </xf>
    <xf numFmtId="0" fontId="1" fillId="0" borderId="0" xfId="0" applyFont="1" applyAlignment="1">
      <alignment horizontal="left"/>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tabSelected="1" zoomScale="85" zoomScaleNormal="85" workbookViewId="0">
      <pane ySplit="1" topLeftCell="A2" activePane="bottomLeft" state="frozen"/>
      <selection pane="bottomLeft" activeCell="U1" sqref="U1:U1048576"/>
    </sheetView>
  </sheetViews>
  <sheetFormatPr defaultRowHeight="12.75" x14ac:dyDescent="0.2"/>
  <cols>
    <col min="1" max="1" width="60" style="11" customWidth="1"/>
    <col min="2" max="12" width="9.28515625" style="2" bestFit="1" customWidth="1"/>
    <col min="13" max="13" width="18.7109375" style="2" customWidth="1"/>
    <col min="14" max="14" width="11" style="2" bestFit="1" customWidth="1"/>
    <col min="15" max="17" width="9.28515625" style="2" bestFit="1" customWidth="1"/>
    <col min="18" max="18" width="12.140625" style="2" customWidth="1"/>
    <col min="19" max="19" width="11.7109375" style="2" customWidth="1"/>
    <col min="20" max="20" width="14.7109375" style="2" customWidth="1"/>
    <col min="21" max="21" width="17.7109375" style="2" customWidth="1"/>
    <col min="22" max="16384" width="9.140625" style="2"/>
  </cols>
  <sheetData>
    <row r="1" spans="1:21" x14ac:dyDescent="0.2">
      <c r="A1" s="10" t="s">
        <v>0</v>
      </c>
      <c r="B1" s="1" t="s">
        <v>1</v>
      </c>
      <c r="C1" s="1" t="s">
        <v>2</v>
      </c>
      <c r="D1" s="1" t="s">
        <v>3</v>
      </c>
      <c r="E1" s="1" t="s">
        <v>4</v>
      </c>
      <c r="F1" s="1" t="s">
        <v>5</v>
      </c>
      <c r="G1" s="1" t="s">
        <v>6</v>
      </c>
      <c r="H1" s="1" t="s">
        <v>7</v>
      </c>
      <c r="I1" s="1" t="s">
        <v>8</v>
      </c>
      <c r="J1" s="1" t="s">
        <v>9</v>
      </c>
      <c r="K1" s="1" t="s">
        <v>66</v>
      </c>
      <c r="L1" s="1" t="s">
        <v>67</v>
      </c>
      <c r="M1" s="1" t="s">
        <v>68</v>
      </c>
      <c r="N1" s="1" t="s">
        <v>3</v>
      </c>
      <c r="O1" s="1" t="s">
        <v>73</v>
      </c>
      <c r="P1" s="1" t="s">
        <v>74</v>
      </c>
      <c r="Q1" s="1" t="s">
        <v>69</v>
      </c>
      <c r="R1" s="1" t="s">
        <v>70</v>
      </c>
      <c r="S1" s="1" t="s">
        <v>71</v>
      </c>
      <c r="T1" s="1" t="s">
        <v>72</v>
      </c>
      <c r="U1" s="2" t="s">
        <v>75</v>
      </c>
    </row>
    <row r="2" spans="1:21" x14ac:dyDescent="0.2">
      <c r="A2" s="8" t="s">
        <v>10</v>
      </c>
      <c r="B2" s="1">
        <v>0.99009900990099009</v>
      </c>
      <c r="C2" s="1">
        <v>41.584158415841586</v>
      </c>
      <c r="D2" s="1">
        <v>4.8095238095238093</v>
      </c>
      <c r="E2" s="1">
        <v>23.809523809523807</v>
      </c>
      <c r="F2" s="1">
        <v>0</v>
      </c>
      <c r="G2" s="1">
        <v>34.478798208392263</v>
      </c>
      <c r="H2" s="1">
        <v>55.705106082036771</v>
      </c>
      <c r="I2" s="1">
        <v>54.505475247524757</v>
      </c>
      <c r="J2" s="1">
        <v>47.367162659123061</v>
      </c>
      <c r="K2" s="1">
        <v>0.95328664779663086</v>
      </c>
      <c r="L2" s="1">
        <v>9.2945955127426705E-2</v>
      </c>
      <c r="M2" s="3">
        <f>(12.318)+(25.386*L2)+(-9.651*K2)</f>
        <v>5.4773565789795686</v>
      </c>
      <c r="N2" s="1">
        <v>4.8095238095238093</v>
      </c>
      <c r="O2" s="1">
        <v>252</v>
      </c>
      <c r="P2" s="1">
        <v>101</v>
      </c>
      <c r="Q2" s="1">
        <f>O2/P2</f>
        <v>2.495049504950495</v>
      </c>
      <c r="R2" s="1">
        <f>(198.825)-(40.175*Q2)-(2.61*N2)</f>
        <v>86.033528995756711</v>
      </c>
      <c r="S2" s="1">
        <f>(118.823)-(25.987*Q2)-(0.971*N2)</f>
        <v>49.314100895803861</v>
      </c>
      <c r="T2" s="1"/>
      <c r="U2" s="2">
        <f>P2/N2</f>
        <v>21</v>
      </c>
    </row>
    <row r="3" spans="1:21" x14ac:dyDescent="0.2">
      <c r="A3" s="8" t="s">
        <v>11</v>
      </c>
      <c r="B3" s="1">
        <v>0</v>
      </c>
      <c r="C3" s="1">
        <v>25.906735751295333</v>
      </c>
      <c r="D3" s="1">
        <v>5.0789473684210522</v>
      </c>
      <c r="E3" s="1">
        <v>13.157894736842104</v>
      </c>
      <c r="F3" s="1">
        <v>0.78947368421052633</v>
      </c>
      <c r="G3" s="1">
        <v>7.3185538587401089</v>
      </c>
      <c r="H3" s="1">
        <v>44.453988955549491</v>
      </c>
      <c r="I3" s="1">
        <v>43.103441778020176</v>
      </c>
      <c r="J3" s="1">
        <v>46.537263157894742</v>
      </c>
      <c r="K3" s="1">
        <v>0.94879758358001709</v>
      </c>
      <c r="L3" s="1">
        <v>3.3943820749087431E-2</v>
      </c>
      <c r="M3" s="3">
        <f>(12.318)+(25.386*L3)+(-9.651*K3)</f>
        <v>4.0228523544055879</v>
      </c>
      <c r="N3" s="1">
        <v>5.0789473684210522</v>
      </c>
      <c r="O3" s="1">
        <v>464</v>
      </c>
      <c r="P3" s="1">
        <v>193</v>
      </c>
      <c r="Q3" s="1">
        <f>O3/P3</f>
        <v>2.4041450777202074</v>
      </c>
      <c r="R3" s="1">
        <f>(198.825)-(40.175*Q3)-(2.61*N3)</f>
        <v>88.982418871011731</v>
      </c>
      <c r="S3" s="1">
        <f>(118.823)-(25.987*Q3)-(0.971*N3)</f>
        <v>51.414823970548127</v>
      </c>
      <c r="T3" s="1"/>
      <c r="U3" s="2">
        <f>P3/N3</f>
        <v>38</v>
      </c>
    </row>
    <row r="4" spans="1:21" x14ac:dyDescent="0.2">
      <c r="A4" s="8" t="s">
        <v>12</v>
      </c>
      <c r="B4" s="1">
        <v>0.88888888888888884</v>
      </c>
      <c r="C4" s="1">
        <v>29.777777777777775</v>
      </c>
      <c r="D4" s="1">
        <v>5</v>
      </c>
      <c r="E4" s="1">
        <v>15.555555555555555</v>
      </c>
      <c r="F4" s="1">
        <v>0.88888888888888895</v>
      </c>
      <c r="G4" s="1">
        <v>14.190111111111108</v>
      </c>
      <c r="H4" s="1">
        <v>47.793111111111109</v>
      </c>
      <c r="I4" s="1">
        <v>46.522777777777783</v>
      </c>
      <c r="J4" s="1">
        <v>47.384</v>
      </c>
      <c r="K4" s="1">
        <v>0.91296368837356567</v>
      </c>
      <c r="L4" s="1">
        <v>8.4755805082203622E-2</v>
      </c>
      <c r="M4" s="3">
        <f>(12.318)+(25.386*L4)+(-9.651*K4)</f>
        <v>5.658598311323539</v>
      </c>
      <c r="N4" s="1">
        <v>5</v>
      </c>
      <c r="O4" s="1">
        <v>616</v>
      </c>
      <c r="P4" s="1">
        <v>225</v>
      </c>
      <c r="Q4" s="1">
        <f>O4/P4</f>
        <v>2.7377777777777776</v>
      </c>
      <c r="R4" s="1">
        <f>(198.825)-(40.175*Q4)-(2.61*N4)</f>
        <v>75.784777777777776</v>
      </c>
      <c r="S4" s="1">
        <f>(118.823)-(25.987*Q4)-(0.971*N4)</f>
        <v>42.821368888888891</v>
      </c>
      <c r="T4" s="1"/>
      <c r="U4" s="2">
        <f>P4/N4</f>
        <v>45</v>
      </c>
    </row>
    <row r="5" spans="1:21" x14ac:dyDescent="0.2">
      <c r="A5" s="8" t="s">
        <v>13</v>
      </c>
      <c r="B5" s="1">
        <v>13.705583756345177</v>
      </c>
      <c r="C5" s="1">
        <v>41.624365482233507</v>
      </c>
      <c r="D5" s="1">
        <v>9.85</v>
      </c>
      <c r="E5" s="1">
        <v>30</v>
      </c>
      <c r="F5" s="1">
        <v>3</v>
      </c>
      <c r="G5" s="1">
        <v>42.197055837563461</v>
      </c>
      <c r="H5" s="1">
        <v>68.561923096446705</v>
      </c>
      <c r="I5" s="1">
        <v>65.815771573604053</v>
      </c>
      <c r="J5" s="1">
        <v>63.329628426395942</v>
      </c>
      <c r="K5" s="1">
        <v>0.76928019523620605</v>
      </c>
      <c r="L5" s="1">
        <v>6.5626815416456805E-2</v>
      </c>
      <c r="M5" s="3">
        <f>(12.318)+(25.386*L5)+(-9.651*K5)</f>
        <v>6.5596791719375478</v>
      </c>
      <c r="N5" s="1">
        <v>9.85</v>
      </c>
      <c r="O5" s="1">
        <v>537</v>
      </c>
      <c r="P5" s="1">
        <v>197</v>
      </c>
      <c r="Q5" s="1">
        <f>O5/P5</f>
        <v>2.7258883248730963</v>
      </c>
      <c r="R5" s="1">
        <f>(198.825)-(40.175*Q5)-(2.61*N5)</f>
        <v>63.603936548223359</v>
      </c>
      <c r="S5" s="1">
        <f>(118.823)-(25.987*Q5)-(0.971*N5)</f>
        <v>38.420990101522854</v>
      </c>
      <c r="T5" s="1"/>
      <c r="U5" s="2">
        <f>P5/N5</f>
        <v>20</v>
      </c>
    </row>
    <row r="6" spans="1:21" x14ac:dyDescent="0.2">
      <c r="A6" s="8" t="s">
        <v>14</v>
      </c>
      <c r="B6" s="1">
        <v>7.096774193548387</v>
      </c>
      <c r="C6" s="1">
        <v>43.870967741935488</v>
      </c>
      <c r="D6" s="1">
        <v>6.2</v>
      </c>
      <c r="E6" s="1">
        <v>28.000000000000004</v>
      </c>
      <c r="F6" s="1">
        <v>0.8</v>
      </c>
      <c r="G6" s="1">
        <v>42.458483870967754</v>
      </c>
      <c r="H6" s="1">
        <v>63.05127741935484</v>
      </c>
      <c r="I6" s="1">
        <v>61.347993548387102</v>
      </c>
      <c r="J6" s="1">
        <v>54.390348387096779</v>
      </c>
      <c r="K6" s="1">
        <v>0.95197230577468872</v>
      </c>
      <c r="L6" s="1">
        <v>8.0134811658835278E-2</v>
      </c>
      <c r="M6" s="3">
        <f>(12.318)+(25.386*L6)+(-9.651*K6)</f>
        <v>5.1648176057396711</v>
      </c>
      <c r="N6" s="1">
        <v>6.2</v>
      </c>
      <c r="O6" s="1">
        <v>436</v>
      </c>
      <c r="P6" s="1">
        <v>155</v>
      </c>
      <c r="Q6" s="1">
        <f>O6/P6</f>
        <v>2.8129032258064517</v>
      </c>
      <c r="R6" s="1">
        <f>(198.825)-(40.175*Q6)-(2.61*N6)</f>
        <v>69.634612903225801</v>
      </c>
      <c r="S6" s="1">
        <f>(118.823)-(25.987*Q6)-(0.971*N6)</f>
        <v>39.703883870967729</v>
      </c>
      <c r="T6" s="1"/>
      <c r="U6" s="2">
        <f>P6/N6</f>
        <v>25</v>
      </c>
    </row>
    <row r="7" spans="1:21" x14ac:dyDescent="0.2">
      <c r="A7" s="8" t="s">
        <v>15</v>
      </c>
      <c r="B7" s="1">
        <v>1.3404825737265416</v>
      </c>
      <c r="C7" s="1">
        <v>27.34584450402145</v>
      </c>
      <c r="D7" s="1">
        <v>5.4852941176470589</v>
      </c>
      <c r="E7" s="1">
        <v>14.705882352941178</v>
      </c>
      <c r="F7" s="1">
        <v>1.6176470588235294</v>
      </c>
      <c r="G7" s="1">
        <v>10.579983598801453</v>
      </c>
      <c r="H7" s="1">
        <v>46.726230287020975</v>
      </c>
      <c r="I7" s="1">
        <v>45.395800031540766</v>
      </c>
      <c r="J7" s="1">
        <v>48.14202996372812</v>
      </c>
      <c r="K7" s="1">
        <v>0.92662650346755981</v>
      </c>
      <c r="L7" s="1">
        <v>7.089415013290358E-2</v>
      </c>
      <c r="M7" s="3">
        <f>(12.318)+(25.386*L7)+(-9.651*K7)</f>
        <v>5.1748465103084715</v>
      </c>
      <c r="N7" s="1">
        <v>5.4852941176470589</v>
      </c>
      <c r="O7" s="1">
        <v>934</v>
      </c>
      <c r="P7" s="1">
        <v>372</v>
      </c>
      <c r="Q7" s="1">
        <f>O7/P7</f>
        <v>2.510752688172043</v>
      </c>
      <c r="R7" s="1">
        <f>(198.825)-(40.175*Q7)-(2.61*N7)</f>
        <v>83.63889310562935</v>
      </c>
      <c r="S7" s="1">
        <f>(118.823)-(25.987*Q7)-(0.971*N7)</f>
        <v>48.24984930423782</v>
      </c>
      <c r="T7" s="1"/>
      <c r="U7" s="2">
        <f>P7/N7</f>
        <v>67.817694369973196</v>
      </c>
    </row>
    <row r="8" spans="1:21" x14ac:dyDescent="0.2">
      <c r="A8" s="8" t="s">
        <v>16</v>
      </c>
      <c r="B8" s="1">
        <v>9.1603053435114496</v>
      </c>
      <c r="C8" s="1">
        <v>22.137404580152673</v>
      </c>
      <c r="D8" s="1">
        <v>9.3571428571428577</v>
      </c>
      <c r="E8" s="1">
        <v>75</v>
      </c>
      <c r="F8" s="1">
        <v>12.5</v>
      </c>
      <c r="G8" s="1">
        <v>49.989369683751363</v>
      </c>
      <c r="H8" s="1">
        <v>51.394302617230096</v>
      </c>
      <c r="I8" s="1">
        <v>50.803954198473285</v>
      </c>
      <c r="J8" s="1">
        <v>58.440444929116687</v>
      </c>
      <c r="K8" s="1">
        <v>0.86957228183746338</v>
      </c>
      <c r="L8" s="1">
        <v>0.1037232075967551</v>
      </c>
      <c r="M8" s="3">
        <f>(12.318)+(25.386*L8)+(-9.651*K8)</f>
        <v>6.5588752560378669</v>
      </c>
      <c r="N8" s="1">
        <v>9.3571428571428577</v>
      </c>
      <c r="O8" s="1">
        <v>679</v>
      </c>
      <c r="P8" s="1">
        <v>262</v>
      </c>
      <c r="Q8" s="1">
        <f>O8/P8</f>
        <v>2.5916030534351147</v>
      </c>
      <c r="R8" s="1">
        <f>(198.825)-(40.175*Q8)-(2.61*N8)</f>
        <v>70.285204471101409</v>
      </c>
      <c r="S8" s="1">
        <f>(118.823)-(25.987*Q8)-(0.971*N8)</f>
        <v>42.389225736095959</v>
      </c>
      <c r="T8" s="1"/>
      <c r="U8" s="2">
        <f>P8/N8</f>
        <v>28</v>
      </c>
    </row>
    <row r="9" spans="1:21" x14ac:dyDescent="0.2">
      <c r="A9" s="8" t="s">
        <v>17</v>
      </c>
      <c r="B9" s="1">
        <v>3.870967741935484</v>
      </c>
      <c r="C9" s="1">
        <v>29.677419354838708</v>
      </c>
      <c r="D9" s="1">
        <v>6.5957446808510642</v>
      </c>
      <c r="E9" s="1">
        <v>53.191489361702125</v>
      </c>
      <c r="F9" s="1">
        <v>6.3829787234042552</v>
      </c>
      <c r="G9" s="1">
        <v>42.119428277282083</v>
      </c>
      <c r="H9" s="1">
        <v>50.872737817433084</v>
      </c>
      <c r="I9" s="1">
        <v>50.182649965682906</v>
      </c>
      <c r="J9" s="1">
        <v>51.385680164722032</v>
      </c>
      <c r="K9" s="1">
        <v>0.91797232627868652</v>
      </c>
      <c r="L9" s="1">
        <v>7.8886460479665424E-2</v>
      </c>
      <c r="M9" s="3">
        <f>(12.318)+(25.386*L9)+(-9.651*K9)</f>
        <v>5.4612607648211817</v>
      </c>
      <c r="N9" s="1">
        <v>6.5957446808510642</v>
      </c>
      <c r="O9" s="1">
        <v>753</v>
      </c>
      <c r="P9" s="1">
        <v>310</v>
      </c>
      <c r="Q9" s="1">
        <f>O9/P9</f>
        <v>2.4290322580645163</v>
      </c>
      <c r="R9" s="1">
        <f>(198.825)-(40.175*Q9)-(2.61*N9)</f>
        <v>84.023735415236786</v>
      </c>
      <c r="S9" s="1">
        <f>(118.823)-(25.987*Q9)-(0.971*N9)</f>
        <v>49.295270624571032</v>
      </c>
      <c r="T9" s="1"/>
      <c r="U9" s="2">
        <f>P9/N9</f>
        <v>47</v>
      </c>
    </row>
    <row r="10" spans="1:21" x14ac:dyDescent="0.2">
      <c r="A10" s="8" t="s">
        <v>18</v>
      </c>
      <c r="B10" s="1">
        <v>2.643171806167401</v>
      </c>
      <c r="C10" s="1">
        <v>42.290748898678416</v>
      </c>
      <c r="D10" s="1">
        <v>5.9736842105263159</v>
      </c>
      <c r="E10" s="1">
        <v>42.105263157894733</v>
      </c>
      <c r="F10" s="1">
        <v>5.2631578947368416</v>
      </c>
      <c r="G10" s="1">
        <v>48.802539531648499</v>
      </c>
      <c r="H10" s="1">
        <v>58.014518780431253</v>
      </c>
      <c r="I10" s="1">
        <v>57.558332715047527</v>
      </c>
      <c r="J10" s="1">
        <v>49.759896127985165</v>
      </c>
      <c r="K10" s="1">
        <v>0.93263286352157593</v>
      </c>
      <c r="L10" s="1">
        <v>7.1058592165268955E-2</v>
      </c>
      <c r="M10" s="3">
        <f>(12.318)+(25.386*L10)+(-9.651*K10)</f>
        <v>5.1210536548607877</v>
      </c>
      <c r="N10" s="1">
        <v>5.9736842105263159</v>
      </c>
      <c r="O10" s="1">
        <v>562</v>
      </c>
      <c r="P10" s="1">
        <v>227</v>
      </c>
      <c r="Q10" s="1">
        <f>O10/P10</f>
        <v>2.4757709251101323</v>
      </c>
      <c r="R10" s="1">
        <f>(198.825)-(40.175*Q10)-(2.61*N10)</f>
        <v>83.769587294226753</v>
      </c>
      <c r="S10" s="1">
        <f>(118.823)-(25.987*Q10)-(0.971*N10)</f>
        <v>48.68469360074193</v>
      </c>
      <c r="T10" s="1"/>
      <c r="U10" s="2">
        <f>P10/N10</f>
        <v>38</v>
      </c>
    </row>
    <row r="11" spans="1:21" x14ac:dyDescent="0.2">
      <c r="A11" s="8" t="s">
        <v>19</v>
      </c>
      <c r="B11" s="1">
        <v>6.4102564102564097</v>
      </c>
      <c r="C11" s="1">
        <v>45.512820512820511</v>
      </c>
      <c r="D11" s="1">
        <v>15.6</v>
      </c>
      <c r="E11" s="1">
        <v>85</v>
      </c>
      <c r="F11" s="1">
        <v>22</v>
      </c>
      <c r="G11" s="1">
        <v>79.642179487179476</v>
      </c>
      <c r="H11" s="1">
        <v>66.67615897435897</v>
      </c>
      <c r="I11" s="1">
        <v>66.69294871794871</v>
      </c>
      <c r="J11" s="1">
        <v>59.563938461538463</v>
      </c>
      <c r="K11" s="1">
        <v>0.7265133261680603</v>
      </c>
      <c r="L11" s="1">
        <v>8.0816562499560554E-2</v>
      </c>
      <c r="M11" s="3">
        <f>(12.318)+(25.386*L11)+(-9.651*K11)</f>
        <v>7.3580291447658936</v>
      </c>
      <c r="N11" s="1">
        <v>15.6</v>
      </c>
      <c r="O11" s="1">
        <v>888</v>
      </c>
      <c r="P11" s="1">
        <v>312</v>
      </c>
      <c r="Q11" s="1">
        <f>O11/P11</f>
        <v>2.8461538461538463</v>
      </c>
      <c r="R11" s="1">
        <f>(198.825)-(40.175*Q11)-(2.61*N11)</f>
        <v>43.764769230769232</v>
      </c>
      <c r="S11" s="1">
        <f>(118.823)-(25.987*Q11)-(0.971*N11)</f>
        <v>29.712400000000002</v>
      </c>
      <c r="T11" s="1"/>
      <c r="U11" s="2">
        <f>P11/N11</f>
        <v>20</v>
      </c>
    </row>
    <row r="12" spans="1:21" x14ac:dyDescent="0.2">
      <c r="A12" s="8" t="s">
        <v>20</v>
      </c>
      <c r="B12" s="1">
        <v>3.8961038961038961</v>
      </c>
      <c r="C12" s="1">
        <v>28.571428571428569</v>
      </c>
      <c r="D12" s="1">
        <v>8.9534883720930232</v>
      </c>
      <c r="E12" s="1">
        <v>48.837209302325576</v>
      </c>
      <c r="F12" s="1">
        <v>4.6511627906976747</v>
      </c>
      <c r="G12" s="1">
        <v>36.067164300815449</v>
      </c>
      <c r="H12" s="1">
        <v>50.941109030504379</v>
      </c>
      <c r="I12" s="1">
        <v>49.05351344004832</v>
      </c>
      <c r="J12" s="1">
        <v>52.882249471458778</v>
      </c>
      <c r="K12" s="1">
        <v>0.84051579236984253</v>
      </c>
      <c r="L12" s="1">
        <v>0.11104400834752939</v>
      </c>
      <c r="M12" s="3">
        <f>(12.318)+(25.386*L12)+(-9.651*K12)</f>
        <v>7.0251452837490316</v>
      </c>
      <c r="N12" s="1">
        <v>8.9534883720930232</v>
      </c>
      <c r="O12" s="1">
        <v>1003</v>
      </c>
      <c r="P12" s="1">
        <v>385</v>
      </c>
      <c r="Q12" s="1">
        <f>O12/P12</f>
        <v>2.6051948051948051</v>
      </c>
      <c r="R12" s="1">
        <f>(198.825)-(40.175*Q12)-(2.61*N12)</f>
        <v>70.792694050135907</v>
      </c>
      <c r="S12" s="1">
        <f>(118.823)-(25.987*Q12)-(0.971*N12)</f>
        <v>42.427965388100269</v>
      </c>
      <c r="T12" s="1"/>
      <c r="U12" s="2">
        <f>P12/N12</f>
        <v>43</v>
      </c>
    </row>
    <row r="13" spans="1:21" x14ac:dyDescent="0.2">
      <c r="A13" s="8" t="s">
        <v>21</v>
      </c>
      <c r="B13" s="1">
        <v>3.1645569620253164</v>
      </c>
      <c r="C13" s="1">
        <v>29.430379746835445</v>
      </c>
      <c r="D13" s="1">
        <v>9.2941176470588243</v>
      </c>
      <c r="E13" s="1">
        <v>50</v>
      </c>
      <c r="F13" s="1">
        <v>8.5294117647058822</v>
      </c>
      <c r="G13" s="1">
        <v>37.346059568131047</v>
      </c>
      <c r="H13" s="1">
        <v>50.986751303052877</v>
      </c>
      <c r="I13" s="1">
        <v>49.90912807148176</v>
      </c>
      <c r="J13" s="1">
        <v>52.357402829486233</v>
      </c>
      <c r="K13" s="1">
        <v>0.68973255157470703</v>
      </c>
      <c r="L13" s="1">
        <v>6.7938267263831245E-2</v>
      </c>
      <c r="M13" s="3">
        <f>(12.318)+(25.386*L13)+(-9.651*K13)</f>
        <v>7.386071997512123</v>
      </c>
      <c r="N13" s="1">
        <v>9.2941176470588243</v>
      </c>
      <c r="O13" s="1">
        <v>809</v>
      </c>
      <c r="P13" s="1">
        <v>316</v>
      </c>
      <c r="Q13" s="1">
        <f>O13/P13</f>
        <v>2.5601265822784809</v>
      </c>
      <c r="R13" s="1">
        <f>(198.825)-(40.175*Q13)-(2.61*N13)</f>
        <v>71.714267498138497</v>
      </c>
      <c r="S13" s="1">
        <f>(118.823)-(25.987*Q13)-(0.971*N13)</f>
        <v>43.268402271035001</v>
      </c>
      <c r="T13" s="1"/>
      <c r="U13" s="2">
        <f>P13/N13</f>
        <v>34</v>
      </c>
    </row>
    <row r="14" spans="1:21" x14ac:dyDescent="0.2">
      <c r="A14" s="8" t="s">
        <v>22</v>
      </c>
      <c r="B14" s="1">
        <v>19.330855018587361</v>
      </c>
      <c r="C14" s="1">
        <v>34.572490706319705</v>
      </c>
      <c r="D14" s="1">
        <v>11.208333333333334</v>
      </c>
      <c r="E14" s="1">
        <v>58.333333333333336</v>
      </c>
      <c r="F14" s="1">
        <v>12.083333333333332</v>
      </c>
      <c r="G14" s="1">
        <v>56.527744114002481</v>
      </c>
      <c r="H14" s="1">
        <v>69.236958643122691</v>
      </c>
      <c r="I14" s="1">
        <v>67.722495043370515</v>
      </c>
      <c r="J14" s="1">
        <v>69.847501858736067</v>
      </c>
      <c r="K14" s="1">
        <v>0.83281517028808594</v>
      </c>
      <c r="L14" s="1">
        <v>0.1509932718452755</v>
      </c>
      <c r="M14" s="3">
        <f>(12.318)+(25.386*L14)+(-9.651*K14)</f>
        <v>8.1136159906138481</v>
      </c>
      <c r="N14" s="1">
        <v>11.208333333333334</v>
      </c>
      <c r="O14" s="1">
        <v>749</v>
      </c>
      <c r="P14" s="1">
        <v>269</v>
      </c>
      <c r="Q14" s="1">
        <f>O14/P14</f>
        <v>2.7843866171003717</v>
      </c>
      <c r="R14" s="1">
        <f>(198.825)-(40.175*Q14)-(2.61*N14)</f>
        <v>57.708517657992573</v>
      </c>
      <c r="S14" s="1">
        <f>(118.823)-(25.987*Q14)-(0.971*N14)</f>
        <v>35.58185331474597</v>
      </c>
      <c r="T14" s="1"/>
      <c r="U14" s="2">
        <f>P14/N14</f>
        <v>24</v>
      </c>
    </row>
    <row r="15" spans="1:21" x14ac:dyDescent="0.2">
      <c r="A15" s="8" t="s">
        <v>23</v>
      </c>
      <c r="B15" s="1">
        <v>3.6036036036036037</v>
      </c>
      <c r="C15" s="1">
        <v>31.531531531531531</v>
      </c>
      <c r="D15" s="1">
        <v>8.3249999999999993</v>
      </c>
      <c r="E15" s="1">
        <v>72.5</v>
      </c>
      <c r="F15" s="1">
        <v>6.5</v>
      </c>
      <c r="G15" s="1">
        <v>57.203684684684681</v>
      </c>
      <c r="H15" s="1">
        <v>52.452648423423426</v>
      </c>
      <c r="I15" s="1">
        <v>51.258036036036039</v>
      </c>
      <c r="J15" s="1">
        <v>52.195232432432434</v>
      </c>
      <c r="K15" s="1">
        <v>0.91701275110244751</v>
      </c>
      <c r="L15" s="1">
        <v>8.4186761669255414E-2</v>
      </c>
      <c r="M15" s="3">
        <f>(12.318)+(25.386*L15)+(-9.651*K15)</f>
        <v>5.6050750708459969</v>
      </c>
      <c r="N15" s="1">
        <v>8.3249999999999993</v>
      </c>
      <c r="O15" s="1">
        <v>849</v>
      </c>
      <c r="P15" s="1">
        <v>333</v>
      </c>
      <c r="Q15" s="1">
        <f>O15/P15</f>
        <v>2.5495495495495497</v>
      </c>
      <c r="R15" s="1">
        <f>(198.825)-(40.175*Q15)-(2.61*N15)</f>
        <v>74.668596846846839</v>
      </c>
      <c r="S15" s="1">
        <f>(118.823)-(25.987*Q15)-(0.971*N15)</f>
        <v>44.484280855855857</v>
      </c>
      <c r="T15" s="1"/>
      <c r="U15" s="2">
        <f>P15/N15</f>
        <v>40</v>
      </c>
    </row>
    <row r="16" spans="1:21" x14ac:dyDescent="0.2">
      <c r="A16" s="8" t="s">
        <v>24</v>
      </c>
      <c r="B16" s="1">
        <v>0.52083333333333326</v>
      </c>
      <c r="C16" s="1">
        <v>23.177083333333336</v>
      </c>
      <c r="D16" s="1">
        <v>4.2197802197802199</v>
      </c>
      <c r="E16" s="1">
        <v>17.582417582417584</v>
      </c>
      <c r="F16" s="1">
        <v>1.098901098901099</v>
      </c>
      <c r="G16" s="1">
        <v>8.1423467261904818</v>
      </c>
      <c r="H16" s="1">
        <v>42.801249313186815</v>
      </c>
      <c r="I16" s="1">
        <v>41.735205815018318</v>
      </c>
      <c r="J16" s="1">
        <v>46.526142857142858</v>
      </c>
      <c r="K16" s="1">
        <v>0.9191436767578125</v>
      </c>
      <c r="L16" s="1">
        <v>3.8939594940079092E-2</v>
      </c>
      <c r="M16" s="3">
        <f>(12.318)+(25.386*L16)+(-9.651*K16)</f>
        <v>4.4358649327591984</v>
      </c>
      <c r="N16" s="1">
        <v>4.2197802197802199</v>
      </c>
      <c r="O16" s="1">
        <v>901</v>
      </c>
      <c r="P16" s="1">
        <v>384</v>
      </c>
      <c r="Q16" s="1">
        <f>O16/P16</f>
        <v>2.3463541666666665</v>
      </c>
      <c r="R16" s="1">
        <f>(198.825)-(40.175*Q16)-(2.61*N16)</f>
        <v>93.546594980540306</v>
      </c>
      <c r="S16" s="1">
        <f>(118.823)-(25.987*Q16)-(0.971*N16)</f>
        <v>53.750887677426739</v>
      </c>
      <c r="T16" s="1"/>
      <c r="U16" s="2">
        <f>P16/N16</f>
        <v>91</v>
      </c>
    </row>
    <row r="17" spans="1:21" x14ac:dyDescent="0.2">
      <c r="A17" s="8" t="s">
        <v>25</v>
      </c>
      <c r="B17" s="1">
        <v>3.225806451612903</v>
      </c>
      <c r="C17" s="1">
        <v>72.043010752688176</v>
      </c>
      <c r="D17" s="1">
        <v>8.454545454545455</v>
      </c>
      <c r="E17" s="1">
        <v>36.363636363636367</v>
      </c>
      <c r="F17" s="1">
        <v>2.7272727272727271</v>
      </c>
      <c r="G17" s="1">
        <v>78.687480938416442</v>
      </c>
      <c r="H17" s="1">
        <v>79.226127077223865</v>
      </c>
      <c r="I17" s="1">
        <v>77.881191593352881</v>
      </c>
      <c r="J17" s="1">
        <v>51.895249266862173</v>
      </c>
      <c r="K17" s="1">
        <v>0.85996437072753906</v>
      </c>
      <c r="L17" s="1">
        <v>5.5721701669487679E-2</v>
      </c>
      <c r="M17" s="3">
        <f>(12.318)+(25.386*L17)+(-9.651*K17)</f>
        <v>5.433034976690136</v>
      </c>
      <c r="N17" s="1">
        <v>8.454545454545455</v>
      </c>
      <c r="O17" s="1">
        <v>282</v>
      </c>
      <c r="P17" s="1">
        <v>93</v>
      </c>
      <c r="Q17" s="1">
        <f>O17/P17</f>
        <v>3.032258064516129</v>
      </c>
      <c r="R17" s="1">
        <f>(198.825)-(40.175*Q17)-(2.61*N17)</f>
        <v>54.93766862170088</v>
      </c>
      <c r="S17" s="1">
        <f>(118.823)-(25.987*Q17)-(0.971*N17)</f>
        <v>31.81434604105571</v>
      </c>
      <c r="T17" s="1"/>
      <c r="U17" s="2">
        <f>P17/N17</f>
        <v>11</v>
      </c>
    </row>
    <row r="18" spans="1:21" x14ac:dyDescent="0.2">
      <c r="A18" s="8" t="s">
        <v>26</v>
      </c>
      <c r="B18" s="1">
        <v>0.70921985815602839</v>
      </c>
      <c r="C18" s="1">
        <v>40.425531914893611</v>
      </c>
      <c r="D18" s="1">
        <v>4.5483870967741939</v>
      </c>
      <c r="E18" s="1">
        <v>9.67741935483871</v>
      </c>
      <c r="F18" s="1">
        <v>0.64516129032258063</v>
      </c>
      <c r="G18" s="1">
        <v>22.769705101807361</v>
      </c>
      <c r="H18" s="1">
        <v>54.597854037977584</v>
      </c>
      <c r="I18" s="1">
        <v>53.622210706932051</v>
      </c>
      <c r="J18" s="1">
        <v>46.921087165408373</v>
      </c>
      <c r="K18" s="1">
        <v>0.97140437364578247</v>
      </c>
      <c r="L18" s="1">
        <v>5.0434833494113547E-2</v>
      </c>
      <c r="M18" s="3">
        <f>(12.318)+(25.386*L18)+(-9.651*K18)</f>
        <v>4.2233150730261197</v>
      </c>
      <c r="N18" s="1">
        <v>4.5483870967741939</v>
      </c>
      <c r="O18" s="1">
        <v>364</v>
      </c>
      <c r="P18" s="1">
        <v>141</v>
      </c>
      <c r="Q18" s="1">
        <f>O18/P18</f>
        <v>2.5815602836879434</v>
      </c>
      <c r="R18" s="1">
        <f>(198.825)-(40.175*Q18)-(2.61*N18)</f>
        <v>83.239525280256217</v>
      </c>
      <c r="S18" s="1">
        <f>(118.823)-(25.987*Q18)-(0.971*N18)</f>
        <v>47.319509036833679</v>
      </c>
      <c r="T18" s="1"/>
      <c r="U18" s="2">
        <f>P18/N18</f>
        <v>30.999999999999996</v>
      </c>
    </row>
    <row r="19" spans="1:21" x14ac:dyDescent="0.2">
      <c r="A19" s="8" t="s">
        <v>27</v>
      </c>
      <c r="B19" s="1">
        <v>1.1235955056179776</v>
      </c>
      <c r="C19" s="1">
        <v>42.696629213483142</v>
      </c>
      <c r="D19" s="1">
        <v>4.6842105263157894</v>
      </c>
      <c r="E19" s="1">
        <v>10.526315789473683</v>
      </c>
      <c r="F19" s="1">
        <v>1.5789473684210527</v>
      </c>
      <c r="G19" s="1">
        <v>26.217682436428138</v>
      </c>
      <c r="H19" s="1">
        <v>56.523583678296866</v>
      </c>
      <c r="I19" s="1">
        <v>55.736808397397986</v>
      </c>
      <c r="J19" s="1">
        <v>47.423531638083972</v>
      </c>
      <c r="K19" s="1">
        <v>0.89627838134765625</v>
      </c>
      <c r="L19" s="1">
        <v>7.6962035399264717E-2</v>
      </c>
      <c r="M19" s="3">
        <f>(12.318)+(25.386*L19)+(-9.651*K19)</f>
        <v>5.6217755722595033</v>
      </c>
      <c r="N19" s="1">
        <v>4.6842105263157894</v>
      </c>
      <c r="O19" s="1">
        <v>242</v>
      </c>
      <c r="P19" s="1">
        <v>89</v>
      </c>
      <c r="Q19" s="1">
        <f>O19/P19</f>
        <v>2.7191011235955056</v>
      </c>
      <c r="R19" s="1">
        <f>(198.825)-(40.175*Q19)-(2.61*N19)</f>
        <v>77.359322885866362</v>
      </c>
      <c r="S19" s="1">
        <f>(118.823)-(25.987*Q19)-(0.971*N19)</f>
        <v>43.613350680070965</v>
      </c>
      <c r="T19" s="1"/>
      <c r="U19" s="2">
        <f>P19/N19</f>
        <v>19</v>
      </c>
    </row>
    <row r="20" spans="1:21" x14ac:dyDescent="0.2">
      <c r="A20" s="8" t="s">
        <v>28</v>
      </c>
      <c r="B20" s="1">
        <v>0.9569377990430622</v>
      </c>
      <c r="C20" s="1">
        <v>43.062200956937801</v>
      </c>
      <c r="D20" s="1">
        <v>8.0384615384615383</v>
      </c>
      <c r="E20" s="1">
        <v>50</v>
      </c>
      <c r="F20" s="1">
        <v>6.5384615384615383</v>
      </c>
      <c r="G20" s="1">
        <v>53.288821126242183</v>
      </c>
      <c r="H20" s="1">
        <v>57.738592381302908</v>
      </c>
      <c r="I20" s="1">
        <v>56.969448288553551</v>
      </c>
      <c r="J20" s="1">
        <v>49.348593301435407</v>
      </c>
      <c r="K20" s="1">
        <v>0.73763382434844971</v>
      </c>
      <c r="L20" s="1">
        <v>0.14264664904464849</v>
      </c>
      <c r="M20" s="3">
        <f>(12.318)+(25.386*L20)+(-9.651*K20)</f>
        <v>8.8203237938605596</v>
      </c>
      <c r="N20" s="1">
        <v>8.0384615384615383</v>
      </c>
      <c r="O20" s="1">
        <v>490</v>
      </c>
      <c r="P20" s="1">
        <v>209</v>
      </c>
      <c r="Q20" s="1">
        <f>O20/P20</f>
        <v>2.3444976076555024</v>
      </c>
      <c r="R20" s="1">
        <f>(198.825)-(40.175*Q20)-(2.61*N20)</f>
        <v>83.654423997055574</v>
      </c>
      <c r="S20" s="1">
        <f>(118.823)-(25.987*Q20)-(0.971*N20)</f>
        <v>50.091194516010304</v>
      </c>
      <c r="T20" s="1"/>
      <c r="U20" s="2">
        <f>P20/N20</f>
        <v>26</v>
      </c>
    </row>
    <row r="21" spans="1:21" x14ac:dyDescent="0.2">
      <c r="A21" s="8" t="s">
        <v>29</v>
      </c>
      <c r="B21" s="1">
        <v>1.2468827930174564</v>
      </c>
      <c r="C21" s="1">
        <v>24.438902743142144</v>
      </c>
      <c r="D21" s="1">
        <v>5.8970588235294121</v>
      </c>
      <c r="E21" s="1">
        <v>25</v>
      </c>
      <c r="F21" s="1">
        <v>1.7647058823529413</v>
      </c>
      <c r="G21" s="1">
        <v>14.34409080240575</v>
      </c>
      <c r="H21" s="1">
        <v>44.839423830130563</v>
      </c>
      <c r="I21" s="1">
        <v>43.35681106058383</v>
      </c>
      <c r="J21" s="1">
        <v>48.304622561243953</v>
      </c>
      <c r="K21" s="1">
        <v>0.90892583131790161</v>
      </c>
      <c r="L21" s="1">
        <v>8.2099740005011357E-2</v>
      </c>
      <c r="M21" s="3">
        <f>(12.318)+(25.386*L21)+(-9.651*K21)</f>
        <v>5.6301408017181487</v>
      </c>
      <c r="N21" s="1">
        <v>5.8970588235294121</v>
      </c>
      <c r="O21" s="1">
        <v>934</v>
      </c>
      <c r="P21" s="1">
        <v>401</v>
      </c>
      <c r="Q21" s="1">
        <f>O21/P21</f>
        <v>2.3291770573566084</v>
      </c>
      <c r="R21" s="1">
        <f>(198.825)-(40.175*Q21)-(2.61*N21)</f>
        <v>89.858988191286485</v>
      </c>
      <c r="S21" s="1">
        <f>(118.823)-(25.987*Q21)-(0.971*N21)</f>
        <v>52.568631692826756</v>
      </c>
      <c r="T21" s="1"/>
      <c r="U21" s="2">
        <f>P21/N21</f>
        <v>68</v>
      </c>
    </row>
    <row r="22" spans="1:21" x14ac:dyDescent="0.2">
      <c r="A22" s="8" t="s">
        <v>30</v>
      </c>
      <c r="B22" s="1">
        <v>6.4516129032258061</v>
      </c>
      <c r="C22" s="1">
        <v>42.396313364055302</v>
      </c>
      <c r="D22" s="1">
        <v>5.166666666666667</v>
      </c>
      <c r="E22" s="1">
        <v>11.904761904761903</v>
      </c>
      <c r="F22" s="1">
        <v>1.1904761904761905</v>
      </c>
      <c r="G22" s="1">
        <v>29.258619047619046</v>
      </c>
      <c r="H22" s="1">
        <v>61.156301843317976</v>
      </c>
      <c r="I22" s="1">
        <v>59.88656374807988</v>
      </c>
      <c r="J22" s="1">
        <v>53.095225806451609</v>
      </c>
      <c r="K22" s="1">
        <v>0.84770411252975464</v>
      </c>
      <c r="L22" s="1">
        <v>7.6118262191394503E-2</v>
      </c>
      <c r="M22" s="3">
        <f>(12.318)+(25.386*L22)+(-9.651*K22)</f>
        <v>6.0691458139660774</v>
      </c>
      <c r="N22" s="1">
        <v>5.166666666666667</v>
      </c>
      <c r="O22" s="1">
        <v>540</v>
      </c>
      <c r="P22" s="1">
        <v>217</v>
      </c>
      <c r="Q22" s="1">
        <f>O22/P22</f>
        <v>2.4884792626728109</v>
      </c>
      <c r="R22" s="1">
        <f>(198.825)-(40.175*Q22)-(2.61*N22)</f>
        <v>85.365345622119818</v>
      </c>
      <c r="S22" s="1">
        <f>(118.823)-(25.987*Q22)-(0.971*N22)</f>
        <v>49.13805606758833</v>
      </c>
      <c r="T22" s="1"/>
      <c r="U22" s="2">
        <f>P22/N22</f>
        <v>42</v>
      </c>
    </row>
    <row r="23" spans="1:21" x14ac:dyDescent="0.2">
      <c r="A23" s="8" t="s">
        <v>31</v>
      </c>
      <c r="B23" s="1">
        <v>7.6763485477178426</v>
      </c>
      <c r="C23" s="1">
        <v>37.551867219917014</v>
      </c>
      <c r="D23" s="1">
        <v>12.05</v>
      </c>
      <c r="E23" s="1">
        <v>67.5</v>
      </c>
      <c r="F23" s="1">
        <v>9.5</v>
      </c>
      <c r="G23" s="1">
        <v>60.319358921161822</v>
      </c>
      <c r="H23" s="1">
        <v>61.286454979253115</v>
      </c>
      <c r="I23" s="1">
        <v>59.462655601659755</v>
      </c>
      <c r="J23" s="1">
        <v>58.624959336099586</v>
      </c>
      <c r="K23" s="1">
        <v>0.77012801170349121</v>
      </c>
      <c r="L23" s="1">
        <v>6.9763849042284637E-2</v>
      </c>
      <c r="M23" s="3">
        <f>(12.318)+(25.386*L23)+(-9.651*K23)</f>
        <v>6.6565196308370442</v>
      </c>
      <c r="N23" s="1">
        <v>12.05</v>
      </c>
      <c r="O23" s="1">
        <v>1342</v>
      </c>
      <c r="P23" s="1">
        <v>482</v>
      </c>
      <c r="Q23" s="1">
        <f>O23/P23</f>
        <v>2.7842323651452281</v>
      </c>
      <c r="R23" s="1">
        <f>(198.825)-(40.175*Q23)-(2.61*N23)</f>
        <v>55.517964730290458</v>
      </c>
      <c r="S23" s="1">
        <f>(118.823)-(25.987*Q23)-(0.971*N23)</f>
        <v>34.768603526970956</v>
      </c>
      <c r="T23" s="1"/>
      <c r="U23" s="2">
        <f>P23/N23</f>
        <v>40</v>
      </c>
    </row>
    <row r="24" spans="1:21" x14ac:dyDescent="0.2">
      <c r="A24" s="8" t="s">
        <v>32</v>
      </c>
      <c r="B24" s="1">
        <v>3.7572254335260116</v>
      </c>
      <c r="C24" s="1">
        <v>29.190751445086704</v>
      </c>
      <c r="D24" s="1">
        <v>8.65</v>
      </c>
      <c r="E24" s="1">
        <v>67.5</v>
      </c>
      <c r="F24" s="1">
        <v>8.75</v>
      </c>
      <c r="G24" s="1">
        <v>50.614355491329476</v>
      </c>
      <c r="H24" s="1">
        <v>51.131958670520234</v>
      </c>
      <c r="I24" s="1">
        <v>50.28888150289017</v>
      </c>
      <c r="J24" s="1">
        <v>52.552883236994219</v>
      </c>
      <c r="K24" s="1">
        <v>0.78177785873413086</v>
      </c>
      <c r="L24" s="1">
        <v>7.1494649680533193E-2</v>
      </c>
      <c r="M24" s="3">
        <f>(12.318)+(25.386*L24)+(-9.651*K24)</f>
        <v>6.5880250621469187</v>
      </c>
      <c r="N24" s="1">
        <v>8.65</v>
      </c>
      <c r="O24" s="1">
        <v>879</v>
      </c>
      <c r="P24" s="1">
        <v>346</v>
      </c>
      <c r="Q24" s="1">
        <f>O24/P24</f>
        <v>2.5404624277456649</v>
      </c>
      <c r="R24" s="1">
        <f>(198.825)-(40.175*Q24)-(2.61*N24)</f>
        <v>74.185421965317914</v>
      </c>
      <c r="S24" s="1">
        <f>(118.823)-(25.987*Q24)-(0.971*N24)</f>
        <v>44.404852890173409</v>
      </c>
      <c r="T24" s="1"/>
      <c r="U24" s="2">
        <f>P24/N24</f>
        <v>40</v>
      </c>
    </row>
    <row r="25" spans="1:21" x14ac:dyDescent="0.2">
      <c r="A25" s="8" t="s">
        <v>33</v>
      </c>
      <c r="B25" s="1">
        <v>5.2197802197802199</v>
      </c>
      <c r="C25" s="1">
        <v>37.087912087912088</v>
      </c>
      <c r="D25" s="1">
        <v>7.1372549019607847</v>
      </c>
      <c r="E25" s="1">
        <v>37.254901960784316</v>
      </c>
      <c r="F25" s="1">
        <v>4.7058823529411766</v>
      </c>
      <c r="G25" s="1">
        <v>39.591606550312434</v>
      </c>
      <c r="H25" s="1">
        <v>57.186178409825473</v>
      </c>
      <c r="I25" s="1">
        <v>56.012133807369096</v>
      </c>
      <c r="J25" s="1">
        <v>53.083185520361994</v>
      </c>
      <c r="K25" s="1">
        <v>0.83393770456314087</v>
      </c>
      <c r="L25" s="1">
        <v>9.4702697815203365E-2</v>
      </c>
      <c r="M25" s="3">
        <f>(12.318)+(25.386*L25)+(-9.651*K25)</f>
        <v>6.67378989999788</v>
      </c>
      <c r="N25" s="1">
        <v>7.1372549019607847</v>
      </c>
      <c r="O25" s="1">
        <v>947</v>
      </c>
      <c r="P25" s="1">
        <v>364</v>
      </c>
      <c r="Q25" s="1">
        <f>O25/P25</f>
        <v>2.6016483516483517</v>
      </c>
      <c r="R25" s="1">
        <f>(198.825)-(40.175*Q25)-(2.61*N25)</f>
        <v>75.675542178409827</v>
      </c>
      <c r="S25" s="1">
        <f>(118.823)-(25.987*Q25)-(0.971*N25)</f>
        <v>44.283689775910361</v>
      </c>
      <c r="T25" s="1"/>
      <c r="U25" s="2">
        <f>P25/N25</f>
        <v>51</v>
      </c>
    </row>
    <row r="26" spans="1:21" x14ac:dyDescent="0.2">
      <c r="A26" s="8" t="s">
        <v>34</v>
      </c>
      <c r="B26" s="1">
        <v>3.7122969837587005</v>
      </c>
      <c r="C26" s="1">
        <v>39.675174013921115</v>
      </c>
      <c r="D26" s="1">
        <v>13.46875</v>
      </c>
      <c r="E26" s="1">
        <v>71.875</v>
      </c>
      <c r="F26" s="1">
        <v>13.75</v>
      </c>
      <c r="G26" s="1">
        <v>63.104979118329467</v>
      </c>
      <c r="H26" s="1">
        <v>59.700794446055689</v>
      </c>
      <c r="I26" s="1">
        <v>58.573725058004641</v>
      </c>
      <c r="J26" s="1">
        <v>55.514495359628768</v>
      </c>
      <c r="K26" s="1">
        <v>0.70339280366897583</v>
      </c>
      <c r="L26" s="1">
        <v>8.4687178622415149E-2</v>
      </c>
      <c r="M26" s="3">
        <f>(12.318)+(25.386*L26)+(-9.651*K26)</f>
        <v>7.6794247682993442</v>
      </c>
      <c r="N26" s="1">
        <v>13.46875</v>
      </c>
      <c r="O26" s="1">
        <v>1217</v>
      </c>
      <c r="P26" s="1">
        <v>431</v>
      </c>
      <c r="Q26" s="1">
        <f>O26/P26</f>
        <v>2.8236658932714618</v>
      </c>
      <c r="R26" s="1">
        <f>(198.825)-(40.175*Q26)-(2.61*N26)</f>
        <v>50.23078523781902</v>
      </c>
      <c r="S26" s="1">
        <f>(118.823)-(25.987*Q26)-(0.971*N26)</f>
        <v>32.366238181554515</v>
      </c>
      <c r="T26" s="1"/>
      <c r="U26" s="2">
        <f>P26/N26</f>
        <v>32</v>
      </c>
    </row>
    <row r="27" spans="1:21" x14ac:dyDescent="0.2">
      <c r="A27" s="8" t="s">
        <v>35</v>
      </c>
      <c r="B27" s="1">
        <v>1.971830985915493</v>
      </c>
      <c r="C27" s="1">
        <v>30.140845070422532</v>
      </c>
      <c r="D27" s="1">
        <v>9.3421052631578956</v>
      </c>
      <c r="E27" s="1">
        <v>68.421052631578945</v>
      </c>
      <c r="F27" s="1">
        <v>7.3684210526315788</v>
      </c>
      <c r="G27" s="1">
        <v>51.057278724981458</v>
      </c>
      <c r="H27" s="1">
        <v>50.431301334321724</v>
      </c>
      <c r="I27" s="1">
        <v>49.139389918458114</v>
      </c>
      <c r="J27" s="1">
        <v>51.185079318013344</v>
      </c>
      <c r="K27" s="1">
        <v>0.83038300275802612</v>
      </c>
      <c r="L27" s="1">
        <v>7.2354444950970931E-2</v>
      </c>
      <c r="M27" s="3">
        <f>(12.318)+(25.386*L27)+(-9.651*K27)</f>
        <v>6.1407635799076381</v>
      </c>
      <c r="N27" s="1">
        <v>9.3421052631578956</v>
      </c>
      <c r="O27" s="1">
        <v>891</v>
      </c>
      <c r="P27" s="1">
        <v>355</v>
      </c>
      <c r="Q27" s="1">
        <f>O27/P27</f>
        <v>2.5098591549295777</v>
      </c>
      <c r="R27" s="1">
        <f>(198.825)-(40.175*Q27)-(2.61*N27)</f>
        <v>73.608513713862109</v>
      </c>
      <c r="S27" s="1">
        <f>(118.823)-(25.987*Q27)-(0.971*N27)</f>
        <v>44.528105930318738</v>
      </c>
      <c r="T27" s="1"/>
      <c r="U27" s="2">
        <f>P27/N27</f>
        <v>38</v>
      </c>
    </row>
    <row r="28" spans="1:21" x14ac:dyDescent="0.2">
      <c r="A28" s="8" t="s">
        <v>36</v>
      </c>
      <c r="B28" s="1">
        <v>2.722772277227723</v>
      </c>
      <c r="C28" s="1">
        <v>31.188118811881189</v>
      </c>
      <c r="D28" s="1">
        <v>5.9411764705882355</v>
      </c>
      <c r="E28" s="1">
        <v>42.647058823529413</v>
      </c>
      <c r="F28" s="1">
        <v>3.6764705882352944</v>
      </c>
      <c r="G28" s="1">
        <v>36.038335468841005</v>
      </c>
      <c r="H28" s="1">
        <v>50.656946418171231</v>
      </c>
      <c r="I28" s="1">
        <v>49.649723937099594</v>
      </c>
      <c r="J28" s="1">
        <v>49.819848573092607</v>
      </c>
      <c r="K28" s="1">
        <v>0.86223047971725464</v>
      </c>
      <c r="L28" s="1">
        <v>5.3201884728567773E-2</v>
      </c>
      <c r="M28" s="3">
        <f>(12.318)+(25.386*L28)+(-9.651*K28)</f>
        <v>5.3471966859681963</v>
      </c>
      <c r="N28" s="1">
        <v>5.9411764705882355</v>
      </c>
      <c r="O28" s="1">
        <v>968</v>
      </c>
      <c r="P28" s="1">
        <v>404</v>
      </c>
      <c r="Q28" s="1">
        <f>O28/P28</f>
        <v>2.3960396039603959</v>
      </c>
      <c r="R28" s="1">
        <f>(198.825)-(40.175*Q28)-(2.61*N28)</f>
        <v>87.057638322655805</v>
      </c>
      <c r="S28" s="1">
        <f>(118.823)-(25.987*Q28)-(0.971*N28)</f>
        <v>50.788236458940013</v>
      </c>
      <c r="T28" s="1"/>
      <c r="U28" s="2">
        <f>P28/N28</f>
        <v>68</v>
      </c>
    </row>
    <row r="29" spans="1:21" x14ac:dyDescent="0.2">
      <c r="A29" s="8" t="s">
        <v>37</v>
      </c>
      <c r="B29" s="1">
        <v>5.8309037900874632</v>
      </c>
      <c r="C29" s="1">
        <v>24.781341107871722</v>
      </c>
      <c r="D29" s="1">
        <v>14</v>
      </c>
      <c r="E29" s="1">
        <v>81.632653061224488</v>
      </c>
      <c r="F29" s="1">
        <v>19.387755102040817</v>
      </c>
      <c r="G29" s="1">
        <v>53.244411078717199</v>
      </c>
      <c r="H29" s="1">
        <v>51.786638483965014</v>
      </c>
      <c r="I29" s="1">
        <v>51.397606413994176</v>
      </c>
      <c r="J29" s="1">
        <v>57.981551020408162</v>
      </c>
      <c r="K29" s="1">
        <v>0.71826142072677612</v>
      </c>
      <c r="L29" s="1">
        <v>0.1259056806041301</v>
      </c>
      <c r="M29" s="3">
        <f>(12.318)+(25.386*L29)+(-9.651*K29)</f>
        <v>8.58230063638233</v>
      </c>
      <c r="N29" s="1">
        <v>14</v>
      </c>
      <c r="O29" s="1">
        <v>1750</v>
      </c>
      <c r="P29" s="1">
        <v>686</v>
      </c>
      <c r="Q29" s="1">
        <f>O29/P29</f>
        <v>2.5510204081632653</v>
      </c>
      <c r="R29" s="1">
        <f>(198.825)-(40.175*Q29)-(2.61*N29)</f>
        <v>59.797755102040817</v>
      </c>
      <c r="S29" s="1">
        <f>(118.823)-(25.987*Q29)-(0.971*N29)</f>
        <v>38.935632653061226</v>
      </c>
      <c r="T29" s="1"/>
      <c r="U29" s="2">
        <f>P29/N29</f>
        <v>49</v>
      </c>
    </row>
    <row r="30" spans="1:21" x14ac:dyDescent="0.2">
      <c r="A30" s="8" t="s">
        <v>38</v>
      </c>
      <c r="B30" s="1">
        <v>4.6345811051693406</v>
      </c>
      <c r="C30" s="1">
        <v>36.185383244206776</v>
      </c>
      <c r="D30" s="1">
        <v>9.1967213114754092</v>
      </c>
      <c r="E30" s="1">
        <v>62.295081967213115</v>
      </c>
      <c r="F30" s="1">
        <v>10.819672131147541</v>
      </c>
      <c r="G30" s="1">
        <v>55.214617661669749</v>
      </c>
      <c r="H30" s="1">
        <v>56.755871833084953</v>
      </c>
      <c r="I30" s="1">
        <v>56.286659448876428</v>
      </c>
      <c r="J30" s="1">
        <v>53.778411852371356</v>
      </c>
      <c r="K30" s="1">
        <v>0.7320820689201355</v>
      </c>
      <c r="L30" s="1">
        <v>5.3854471734845963E-2</v>
      </c>
      <c r="M30" s="3">
        <f>(12.318)+(25.386*L30)+(-9.651*K30)</f>
        <v>6.6198255723125703</v>
      </c>
      <c r="N30" s="1">
        <v>9.1967213114754092</v>
      </c>
      <c r="O30" s="1">
        <v>1478</v>
      </c>
      <c r="P30" s="1">
        <v>561</v>
      </c>
      <c r="Q30" s="1">
        <f>O30/P30</f>
        <v>2.6345811051693406</v>
      </c>
      <c r="R30" s="1">
        <f>(198.825)-(40.175*Q30)-(2.61*N30)</f>
        <v>68.977261476870922</v>
      </c>
      <c r="S30" s="1">
        <f>(118.823)-(25.987*Q30)-(0.971*N30)</f>
        <v>41.428124426521727</v>
      </c>
      <c r="T30" s="1"/>
      <c r="U30" s="2">
        <f>P30/N30</f>
        <v>61.000000000000007</v>
      </c>
    </row>
    <row r="31" spans="1:21" x14ac:dyDescent="0.2">
      <c r="A31" s="8" t="s">
        <v>39</v>
      </c>
      <c r="B31" s="1">
        <v>5.5555555555555554</v>
      </c>
      <c r="C31" s="1">
        <v>37.698412698412696</v>
      </c>
      <c r="D31" s="1">
        <v>7.875</v>
      </c>
      <c r="E31" s="1">
        <v>31.25</v>
      </c>
      <c r="F31" s="1">
        <v>5.625</v>
      </c>
      <c r="G31" s="1">
        <v>35.60078174603175</v>
      </c>
      <c r="H31" s="1">
        <v>58.134136904761903</v>
      </c>
      <c r="I31" s="1">
        <v>56.918694444444448</v>
      </c>
      <c r="J31" s="1">
        <v>53.882000000000005</v>
      </c>
      <c r="K31" s="1">
        <v>0.84221553802490234</v>
      </c>
      <c r="L31" s="1">
        <v>8.6928420260627484E-2</v>
      </c>
      <c r="M31" s="3">
        <f>(12.318)+(25.386*L31)+(-9.651*K31)</f>
        <v>6.3965427192579565</v>
      </c>
      <c r="N31" s="1">
        <v>7.875</v>
      </c>
      <c r="O31" s="1">
        <v>775</v>
      </c>
      <c r="P31" s="1">
        <v>252</v>
      </c>
      <c r="Q31" s="1">
        <f>O31/P31</f>
        <v>3.0753968253968256</v>
      </c>
      <c r="R31" s="1">
        <f>(198.825)-(40.175*Q31)-(2.61*N31)</f>
        <v>54.71718253968254</v>
      </c>
      <c r="S31" s="1">
        <f>(118.823)-(25.987*Q31)-(0.971*N31)</f>
        <v>31.256037698412698</v>
      </c>
      <c r="T31" s="1"/>
      <c r="U31" s="2">
        <f>P31/N31</f>
        <v>32</v>
      </c>
    </row>
    <row r="32" spans="1:21" x14ac:dyDescent="0.2">
      <c r="A32" s="8" t="s">
        <v>40</v>
      </c>
      <c r="B32" s="1">
        <v>0.34246575342466001</v>
      </c>
      <c r="C32" s="1">
        <v>27.739726027397261</v>
      </c>
      <c r="D32" s="1">
        <v>4.7868852500000001</v>
      </c>
      <c r="E32" s="1">
        <v>36.065573770491795</v>
      </c>
      <c r="F32" s="1">
        <v>4.2622950819672125</v>
      </c>
      <c r="G32" s="1">
        <v>26.659707610140348</v>
      </c>
      <c r="H32" s="1">
        <v>45.881512240304794</v>
      </c>
      <c r="I32" s="1">
        <v>45.431347181675271</v>
      </c>
      <c r="J32" s="1">
        <v>46.700221875452058</v>
      </c>
      <c r="K32" s="1">
        <v>0.9309077262878418</v>
      </c>
      <c r="L32" s="1">
        <v>2.3874480099655759E-2</v>
      </c>
      <c r="M32" s="3">
        <f>(12.318)+(25.386*L32)+(-9.651*K32)</f>
        <v>3.9398870854058998</v>
      </c>
      <c r="N32" s="4">
        <v>4.7868852500000001</v>
      </c>
      <c r="O32" s="1">
        <v>770</v>
      </c>
      <c r="P32" s="1">
        <v>292</v>
      </c>
      <c r="Q32" s="1">
        <f>O32/P32</f>
        <v>2.6369863013698631</v>
      </c>
      <c r="R32" s="1">
        <f>(198.825)-(40.175*Q32)-(2.61*N32)</f>
        <v>80.390304839965751</v>
      </c>
      <c r="S32" s="1">
        <f>(118.823)-(25.987*Q32)-(0.971*N32)</f>
        <v>45.647571408551357</v>
      </c>
      <c r="T32" s="12">
        <v>4.1900933848165733</v>
      </c>
      <c r="U32" s="2">
        <f>P32/N32</f>
        <v>60.999999947773972</v>
      </c>
    </row>
    <row r="33" spans="1:21" ht="13.5" customHeight="1" x14ac:dyDescent="0.2">
      <c r="A33" s="9" t="s">
        <v>41</v>
      </c>
      <c r="B33" s="1">
        <v>2.0316027088036117</v>
      </c>
      <c r="C33" s="1">
        <v>23.927765237020317</v>
      </c>
      <c r="D33" s="1">
        <v>5.6794871794871797</v>
      </c>
      <c r="E33" s="1">
        <v>53.846153846153847</v>
      </c>
      <c r="F33" s="1">
        <v>6.1538461538461542</v>
      </c>
      <c r="G33" s="1">
        <v>35.421791804132667</v>
      </c>
      <c r="H33" s="1">
        <v>45.113731984719571</v>
      </c>
      <c r="I33" s="1">
        <v>44.652572842507375</v>
      </c>
      <c r="J33" s="1">
        <v>48.959855530474037</v>
      </c>
      <c r="K33" s="1">
        <v>0.8917197585105896</v>
      </c>
      <c r="L33" s="1">
        <v>5.1588170366766203E-2</v>
      </c>
      <c r="M33" s="3">
        <f>(12.318)+(25.386*L33)+(-9.651*K33)</f>
        <v>5.0216299035450263</v>
      </c>
      <c r="N33" s="5">
        <v>5.6794871794871797</v>
      </c>
      <c r="O33" s="1">
        <v>1131</v>
      </c>
      <c r="P33" s="1">
        <v>443</v>
      </c>
      <c r="Q33" s="1">
        <f>O33/P33</f>
        <v>2.5530474040632054</v>
      </c>
      <c r="R33" s="1">
        <f>(198.825)-(40.175*Q33)-(2.61*N33)</f>
        <v>81.432859003299171</v>
      </c>
      <c r="S33" s="1">
        <f>(118.823)-(25.987*Q33)-(0.971*N33)</f>
        <v>46.962175059327421</v>
      </c>
      <c r="T33" s="12">
        <v>5.0187446141085577</v>
      </c>
      <c r="U33" s="2">
        <f>P33/N33</f>
        <v>78</v>
      </c>
    </row>
    <row r="34" spans="1:21" x14ac:dyDescent="0.2">
      <c r="A34" s="8" t="s">
        <v>42</v>
      </c>
      <c r="B34" s="1">
        <v>1.6129032258064515</v>
      </c>
      <c r="C34" s="1">
        <v>30.322580645161288</v>
      </c>
      <c r="D34" s="1">
        <v>5.6363636399999999</v>
      </c>
      <c r="E34" s="1">
        <v>36.363636363636296</v>
      </c>
      <c r="F34" s="1">
        <v>3.6363636363636367</v>
      </c>
      <c r="G34" s="1">
        <v>30.039093839242184</v>
      </c>
      <c r="H34" s="1">
        <v>49.003909092119997</v>
      </c>
      <c r="I34" s="1">
        <v>48.121269794721407</v>
      </c>
      <c r="J34" s="1">
        <v>48.510897362972905</v>
      </c>
      <c r="K34" s="1">
        <v>0.8953855037689209</v>
      </c>
      <c r="L34" s="1">
        <v>2.6831090755818191E-2</v>
      </c>
      <c r="M34" s="3">
        <f>(12.318)+(25.386*L34)+(-9.651*K34)</f>
        <v>4.3577685730533435</v>
      </c>
      <c r="N34" s="6">
        <v>5.6363636399999999</v>
      </c>
      <c r="O34" s="1">
        <v>793</v>
      </c>
      <c r="P34" s="1">
        <v>310</v>
      </c>
      <c r="Q34" s="1">
        <f>O34/P34</f>
        <v>2.5580645161290323</v>
      </c>
      <c r="R34" s="1">
        <f>(198.825)-(40.175*Q34)-(2.61*N34)</f>
        <v>81.34384896411612</v>
      </c>
      <c r="S34" s="1">
        <f>(118.823)-(25.987*Q34)-(0.971*N34)</f>
        <v>46.873668324914831</v>
      </c>
      <c r="T34" s="12">
        <v>5.0384701879201383</v>
      </c>
      <c r="U34" s="2">
        <f>P34/N34</f>
        <v>54.999999964516128</v>
      </c>
    </row>
    <row r="35" spans="1:21" x14ac:dyDescent="0.2">
      <c r="A35" s="8" t="s">
        <v>43</v>
      </c>
      <c r="B35" s="1">
        <v>5.3619302949061662</v>
      </c>
      <c r="C35" s="1">
        <v>34.316353887399465</v>
      </c>
      <c r="D35" s="1">
        <v>5.6515151515151514</v>
      </c>
      <c r="E35" s="1">
        <v>48.484848484848484</v>
      </c>
      <c r="F35" s="1">
        <v>4.8484848484848486</v>
      </c>
      <c r="G35" s="1">
        <v>45.57503200909904</v>
      </c>
      <c r="H35" s="1">
        <v>54.9646918108701</v>
      </c>
      <c r="I35" s="1">
        <v>54.261626208465351</v>
      </c>
      <c r="J35" s="1">
        <v>52.299371191810877</v>
      </c>
      <c r="K35" s="1">
        <v>0.85321348905563354</v>
      </c>
      <c r="L35" s="1">
        <v>3.9816392937659088E-2</v>
      </c>
      <c r="M35" s="3">
        <f>(12.318)+(25.386*L35)+(-9.651*K35)</f>
        <v>5.0944155682394943</v>
      </c>
      <c r="N35" s="5">
        <v>5.6515151515151514</v>
      </c>
      <c r="O35" s="1">
        <v>1041</v>
      </c>
      <c r="P35" s="1">
        <v>373</v>
      </c>
      <c r="Q35" s="1">
        <f>O35/P35</f>
        <v>2.7908847184986594</v>
      </c>
      <c r="R35" s="1">
        <f>(198.825)-(40.175*Q35)-(2.61*N35)</f>
        <v>71.950751888861816</v>
      </c>
      <c r="S35" s="1">
        <f>(118.823)-(25.987*Q35)-(0.971*N35)</f>
        <v>40.808657608254123</v>
      </c>
      <c r="T35" s="12">
        <v>6.7461816224447988</v>
      </c>
      <c r="U35" s="2">
        <f>P35/N35</f>
        <v>66</v>
      </c>
    </row>
    <row r="36" spans="1:21" x14ac:dyDescent="0.2">
      <c r="A36" s="8" t="s">
        <v>44</v>
      </c>
      <c r="B36" s="1">
        <v>2.8205128205128207</v>
      </c>
      <c r="C36" s="1">
        <v>29.230769230769234</v>
      </c>
      <c r="D36" s="1">
        <v>6.3934426229508201</v>
      </c>
      <c r="E36" s="1">
        <v>57.377049180327866</v>
      </c>
      <c r="F36" s="1">
        <v>5.5737704918032787</v>
      </c>
      <c r="G36" s="1">
        <v>44.255371584699454</v>
      </c>
      <c r="H36" s="1">
        <v>49.585759983186222</v>
      </c>
      <c r="I36" s="1">
        <v>48.817287515762928</v>
      </c>
      <c r="J36" s="1">
        <v>50.200585119798234</v>
      </c>
      <c r="K36" s="1">
        <v>0.89079368114471436</v>
      </c>
      <c r="L36" s="1">
        <v>8.2726472006121363E-2</v>
      </c>
      <c r="M36" s="3">
        <f>(12.318)+(25.386*L36)+(-9.651*K36)</f>
        <v>5.8210444016197584</v>
      </c>
      <c r="N36" s="5">
        <v>6.3934426229508201</v>
      </c>
      <c r="O36" s="1">
        <v>1058</v>
      </c>
      <c r="P36" s="1">
        <v>390</v>
      </c>
      <c r="Q36" s="1">
        <f>O36/P36</f>
        <v>2.712820512820513</v>
      </c>
      <c r="R36" s="1">
        <f>(198.825)-(40.175*Q36)-(2.61*N36)</f>
        <v>73.15055065153426</v>
      </c>
      <c r="S36" s="1">
        <f>(118.823)-(25.987*Q36)-(0.971*N36)</f>
        <v>42.116900546448086</v>
      </c>
      <c r="T36" s="12">
        <v>6.1752947283940687</v>
      </c>
      <c r="U36" s="2">
        <f>P36/N36</f>
        <v>60.999999999999993</v>
      </c>
    </row>
    <row r="37" spans="1:21" x14ac:dyDescent="0.2">
      <c r="A37" s="8" t="s">
        <v>45</v>
      </c>
      <c r="B37" s="1">
        <v>6.4017660044150109</v>
      </c>
      <c r="C37" s="1">
        <v>33.527593818984499</v>
      </c>
      <c r="D37" s="1">
        <v>5.9605263199999996</v>
      </c>
      <c r="E37" s="1">
        <v>43.421052631578952</v>
      </c>
      <c r="F37" s="1">
        <v>6.3157894736842106</v>
      </c>
      <c r="G37" s="1">
        <v>41.248145576400738</v>
      </c>
      <c r="H37" s="1">
        <v>55.452636721513613</v>
      </c>
      <c r="I37" s="1">
        <v>54.91937062855812</v>
      </c>
      <c r="J37" s="1">
        <v>53.540348556130333</v>
      </c>
      <c r="K37" s="1">
        <v>0.81777596473693848</v>
      </c>
      <c r="L37" s="1">
        <v>5.016791750827844E-2</v>
      </c>
      <c r="M37" s="3">
        <f>(12.318)+(25.386*L37)+(-9.651*K37)</f>
        <v>5.6992069181889633</v>
      </c>
      <c r="N37" s="4">
        <v>5.9605263199999996</v>
      </c>
      <c r="O37" s="1">
        <v>1112</v>
      </c>
      <c r="P37" s="1">
        <v>453</v>
      </c>
      <c r="Q37" s="1">
        <f>O37/P37</f>
        <v>2.4547461368653423</v>
      </c>
      <c r="R37" s="1">
        <f>(198.825)-(40.175*Q37)-(2.61*N37)</f>
        <v>84.648600256234872</v>
      </c>
      <c r="S37" s="1">
        <f>(118.823)-(25.987*Q37)-(0.971*N37)</f>
        <v>49.243841084560344</v>
      </c>
      <c r="T37" s="12">
        <v>4.7506246872374032</v>
      </c>
      <c r="U37" s="2">
        <f>P37/N37</f>
        <v>75.999999946313466</v>
      </c>
    </row>
    <row r="38" spans="1:21" x14ac:dyDescent="0.2">
      <c r="A38" s="8" t="s">
        <v>46</v>
      </c>
      <c r="B38" s="1">
        <v>9.1428571428571423</v>
      </c>
      <c r="C38" s="1">
        <v>34.857142857142861</v>
      </c>
      <c r="D38" s="1">
        <v>10.606060606060606</v>
      </c>
      <c r="E38" s="1">
        <v>75.757575757575751</v>
      </c>
      <c r="F38" s="1">
        <v>20.303030303030305</v>
      </c>
      <c r="G38" s="1">
        <v>64.860731601731601</v>
      </c>
      <c r="H38" s="1">
        <v>60.291675324675332</v>
      </c>
      <c r="I38" s="1">
        <v>61.278627705627706</v>
      </c>
      <c r="J38" s="1">
        <v>59.20218181818182</v>
      </c>
      <c r="K38" s="1">
        <v>0.60654556751251221</v>
      </c>
      <c r="L38" s="1">
        <v>4.8958821953772713E-2</v>
      </c>
      <c r="M38" s="3">
        <f>(12.318)+(25.386*L38)+(-9.651*K38)</f>
        <v>7.7070973820552187</v>
      </c>
      <c r="N38" s="5">
        <v>10.606060606060606</v>
      </c>
      <c r="O38" s="1">
        <v>1040</v>
      </c>
      <c r="P38" s="1">
        <v>350</v>
      </c>
      <c r="Q38" s="1">
        <f>O38/P38</f>
        <v>2.9714285714285715</v>
      </c>
      <c r="R38" s="1">
        <f>(198.825)-(40.175*Q38)-(2.61*N38)</f>
        <v>51.766038961038952</v>
      </c>
      <c r="S38" s="1">
        <f>(118.823)-(25.987*Q38)-(0.971*N38)</f>
        <v>31.306000865800868</v>
      </c>
      <c r="T38" s="12">
        <v>16.075093522971123</v>
      </c>
      <c r="U38" s="2">
        <f>P38/N38</f>
        <v>33</v>
      </c>
    </row>
    <row r="39" spans="1:21" x14ac:dyDescent="0.2">
      <c r="A39" s="8" t="s">
        <v>47</v>
      </c>
      <c r="B39" s="1">
        <v>8.115942028985506</v>
      </c>
      <c r="C39" s="1">
        <v>41.739130434782609</v>
      </c>
      <c r="D39" s="1">
        <v>6.3888888888888893</v>
      </c>
      <c r="E39" s="1">
        <v>75.925925925925924</v>
      </c>
      <c r="F39" s="1">
        <v>4.6296296296296298</v>
      </c>
      <c r="G39" s="1">
        <v>75.442239935587764</v>
      </c>
      <c r="H39" s="1">
        <v>62.583920289855072</v>
      </c>
      <c r="I39" s="1">
        <v>61.60103542673108</v>
      </c>
      <c r="J39" s="1">
        <v>55.535536231884059</v>
      </c>
      <c r="K39" s="1">
        <v>0.85700017213821411</v>
      </c>
      <c r="L39" s="1">
        <v>3.1617497315431377E-2</v>
      </c>
      <c r="M39" s="3">
        <f>(12.318)+(25.386*L39)+(-9.651*K39)</f>
        <v>4.8497331255436364</v>
      </c>
      <c r="N39" s="5">
        <v>6.3888888888888893</v>
      </c>
      <c r="O39" s="1">
        <v>919</v>
      </c>
      <c r="P39" s="1">
        <v>345</v>
      </c>
      <c r="Q39" s="1">
        <f>O39/P39</f>
        <v>2.663768115942029</v>
      </c>
      <c r="R39" s="1">
        <f>(198.825)-(40.175*Q39)-(2.61*N39)</f>
        <v>75.133115942028979</v>
      </c>
      <c r="S39" s="1">
        <f>(118.823)-(25.987*Q39)-(0.971*N39)</f>
        <v>43.396046859903386</v>
      </c>
      <c r="T39" s="12">
        <v>5.5956653932678675</v>
      </c>
      <c r="U39" s="2">
        <f>P39/N39</f>
        <v>54</v>
      </c>
    </row>
    <row r="40" spans="1:21" x14ac:dyDescent="0.2">
      <c r="A40" s="8" t="s">
        <v>48</v>
      </c>
      <c r="B40" s="1">
        <v>7.9681274900398407</v>
      </c>
      <c r="C40" s="1">
        <v>42</v>
      </c>
      <c r="D40" s="1">
        <v>10.4583333</v>
      </c>
      <c r="E40" s="1">
        <v>79.1666666666666</v>
      </c>
      <c r="F40" s="1">
        <v>14.166666666666668</v>
      </c>
      <c r="G40" s="1">
        <v>75.367475453606872</v>
      </c>
      <c r="H40" s="1">
        <v>63.983672797664937</v>
      </c>
      <c r="I40" s="1">
        <v>63.812084993359889</v>
      </c>
      <c r="J40" s="1">
        <v>57.925872489160163</v>
      </c>
      <c r="K40" s="1">
        <v>0.75990027189254761</v>
      </c>
      <c r="L40" s="1">
        <v>6.2013201781265112E-2</v>
      </c>
      <c r="M40" s="3">
        <f>(12.318)+(25.386*L40)+(-9.651*K40)</f>
        <v>6.5584696163842198</v>
      </c>
      <c r="N40" s="4">
        <v>10.4583333</v>
      </c>
      <c r="O40" s="1">
        <v>704</v>
      </c>
      <c r="P40" s="1">
        <v>251</v>
      </c>
      <c r="Q40" s="1">
        <f>O40/P40</f>
        <v>2.8047808764940241</v>
      </c>
      <c r="R40" s="1">
        <f>(198.825)-(40.175*Q40)-(2.61*N40)</f>
        <v>58.846678373852583</v>
      </c>
      <c r="S40" s="1">
        <f>(118.823)-(25.987*Q40)-(0.971*N40)</f>
        <v>35.780117728249799</v>
      </c>
      <c r="T40" s="12">
        <v>12.52410520977946</v>
      </c>
      <c r="U40" s="2">
        <f>P40/N40</f>
        <v>24.000000076494025</v>
      </c>
    </row>
    <row r="41" spans="1:21" x14ac:dyDescent="0.2">
      <c r="A41" s="8" t="s">
        <v>49</v>
      </c>
      <c r="B41" s="1">
        <v>13.623978201634879</v>
      </c>
      <c r="C41" s="1">
        <v>33.514986376021803</v>
      </c>
      <c r="D41" s="1">
        <v>13.5925926</v>
      </c>
      <c r="E41" s="1">
        <v>92.59259259259251</v>
      </c>
      <c r="F41" s="1">
        <v>20.370370370370374</v>
      </c>
      <c r="G41" s="1">
        <v>75.90758895464279</v>
      </c>
      <c r="H41" s="1">
        <v>64.319573117816361</v>
      </c>
      <c r="I41" s="1">
        <v>64.110382177818153</v>
      </c>
      <c r="J41" s="1">
        <v>65.582747809647955</v>
      </c>
      <c r="K41" s="1">
        <v>0.75125288963317871</v>
      </c>
      <c r="L41" s="1">
        <v>7.659987177778313E-2</v>
      </c>
      <c r="M41" s="3">
        <f>(12.318)+(25.386*L41)+(-9.651*K41)</f>
        <v>7.0122227071009942</v>
      </c>
      <c r="N41" s="4">
        <v>13.5925926</v>
      </c>
      <c r="O41" s="1">
        <v>1206</v>
      </c>
      <c r="P41" s="1">
        <v>367</v>
      </c>
      <c r="Q41" s="1">
        <f>O41/P41</f>
        <v>3.2861035422343323</v>
      </c>
      <c r="R41" s="1">
        <f>(198.825)-(40.175*Q41)-(2.61*N41)</f>
        <v>31.329123504735712</v>
      </c>
      <c r="S41" s="1">
        <f>(118.823)-(25.987*Q41)-(0.971*N41)</f>
        <v>20.228619833356404</v>
      </c>
      <c r="T41" s="12">
        <v>24.63716315420444</v>
      </c>
      <c r="U41" s="2">
        <f>P41/N41</f>
        <v>26.999999985286106</v>
      </c>
    </row>
    <row r="42" spans="1:21" x14ac:dyDescent="0.2">
      <c r="A42" s="8" t="s">
        <v>50</v>
      </c>
      <c r="B42" s="1">
        <v>21.468926553672315</v>
      </c>
      <c r="C42" s="1">
        <v>24.576271186440678</v>
      </c>
      <c r="D42" s="1">
        <v>12.642857142857142</v>
      </c>
      <c r="E42" s="1">
        <v>100</v>
      </c>
      <c r="F42" s="1">
        <v>28.214285714285715</v>
      </c>
      <c r="G42" s="1">
        <v>75.303267958030659</v>
      </c>
      <c r="H42" s="1">
        <v>64.912269168684418</v>
      </c>
      <c r="I42" s="1">
        <v>66.293835351089598</v>
      </c>
      <c r="J42" s="1">
        <v>72.897820823244558</v>
      </c>
      <c r="K42" s="1">
        <v>0.87057650089263916</v>
      </c>
      <c r="L42" s="1">
        <v>0.13662829464087031</v>
      </c>
      <c r="M42" s="3">
        <f>(12.318)+(25.386*L42)+(-9.651*K42)</f>
        <v>7.3845120776382736</v>
      </c>
      <c r="N42" s="5">
        <v>12.642857142857142</v>
      </c>
      <c r="O42" s="1">
        <v>1039</v>
      </c>
      <c r="P42" s="1">
        <v>354</v>
      </c>
      <c r="Q42" s="1">
        <f>O42/P42</f>
        <v>2.9350282485875705</v>
      </c>
      <c r="R42" s="1">
        <f>(198.825)-(40.175*Q42)-(2.61*N42)</f>
        <v>47.912382970137216</v>
      </c>
      <c r="S42" s="1">
        <f>(118.823)-(25.987*Q42)-(0.971*N42)</f>
        <v>30.274206618240516</v>
      </c>
      <c r="T42" s="12">
        <v>17.168946665181203</v>
      </c>
      <c r="U42" s="2">
        <f>P42/N42</f>
        <v>28</v>
      </c>
    </row>
    <row r="43" spans="1:21" x14ac:dyDescent="0.2">
      <c r="A43" s="8" t="s">
        <v>51</v>
      </c>
      <c r="B43" s="1">
        <v>15.384615384615385</v>
      </c>
      <c r="C43" s="1">
        <v>33.156498673740053</v>
      </c>
      <c r="D43" s="1">
        <v>13.464285714285714</v>
      </c>
      <c r="E43" s="1">
        <v>85.714285714285708</v>
      </c>
      <c r="F43" s="1">
        <v>21.071428571428573</v>
      </c>
      <c r="G43" s="1">
        <v>71.417917392951878</v>
      </c>
      <c r="H43" s="1">
        <v>65.581455949223184</v>
      </c>
      <c r="I43" s="1">
        <v>65.491270178097764</v>
      </c>
      <c r="J43" s="1">
        <v>67.277406593406596</v>
      </c>
      <c r="K43" s="1">
        <v>0.70826268196105957</v>
      </c>
      <c r="L43" s="1">
        <v>0.1012989064727616</v>
      </c>
      <c r="M43" s="3">
        <f>(12.318)+(25.386*L43)+(-9.651*K43)</f>
        <v>8.0541308961113387</v>
      </c>
      <c r="N43" s="5">
        <v>13.464285714285714</v>
      </c>
      <c r="O43" s="1">
        <v>1115</v>
      </c>
      <c r="P43" s="1">
        <v>377</v>
      </c>
      <c r="Q43" s="1">
        <f>O43/P43</f>
        <v>2.9575596816976129</v>
      </c>
      <c r="R43" s="1">
        <f>(198.825)-(40.175*Q43)-(2.61*N43)</f>
        <v>44.863254073512685</v>
      </c>
      <c r="S43" s="1">
        <f>(118.823)-(25.987*Q43)-(0.971*N43)</f>
        <v>28.89107512315271</v>
      </c>
      <c r="T43" s="12">
        <v>17.250087621782782</v>
      </c>
      <c r="U43" s="2">
        <f>P43/N43</f>
        <v>28</v>
      </c>
    </row>
    <row r="44" spans="1:21" x14ac:dyDescent="0.2">
      <c r="A44" s="8" t="s">
        <v>52</v>
      </c>
      <c r="B44" s="1">
        <v>22.794117647058822</v>
      </c>
      <c r="C44" s="1">
        <v>28.817733990147783</v>
      </c>
      <c r="D44" s="1">
        <v>20.5</v>
      </c>
      <c r="E44" s="1">
        <v>100</v>
      </c>
      <c r="F44" s="1">
        <v>46</v>
      </c>
      <c r="G44" s="1">
        <v>75.842332946971879</v>
      </c>
      <c r="H44" s="1">
        <v>71.524187481889314</v>
      </c>
      <c r="I44" s="1">
        <v>74.32825963488844</v>
      </c>
      <c r="J44" s="1">
        <v>79.136470588235298</v>
      </c>
      <c r="K44" s="1">
        <v>0.77375531196594238</v>
      </c>
      <c r="L44" s="1">
        <v>0.1173755585117857</v>
      </c>
      <c r="M44" s="3">
        <f>(12.318)+(25.386*L44)+(-9.651*K44)</f>
        <v>7.8301834125968819</v>
      </c>
      <c r="N44" s="4">
        <v>20.5</v>
      </c>
      <c r="O44" s="1">
        <v>1267</v>
      </c>
      <c r="P44" s="1">
        <v>406</v>
      </c>
      <c r="Q44" s="1">
        <f>O44/P44</f>
        <v>3.1206896551724137</v>
      </c>
      <c r="R44" s="1">
        <f>(198.825)-(40.175*Q44)-(2.61*N44)</f>
        <v>19.946293103448284</v>
      </c>
      <c r="S44" s="1">
        <f>(118.823)-(25.987*Q44)-(0.971*N44)</f>
        <v>17.820137931034484</v>
      </c>
      <c r="T44" s="12">
        <v>32.561616206816275</v>
      </c>
      <c r="U44" s="2">
        <f>P44/N44</f>
        <v>19.804878048780488</v>
      </c>
    </row>
    <row r="45" spans="1:21" x14ac:dyDescent="0.2">
      <c r="A45" s="8" t="s">
        <v>53</v>
      </c>
      <c r="B45" s="1">
        <v>21.787709497206702</v>
      </c>
      <c r="C45" s="1">
        <v>29.295774647887303</v>
      </c>
      <c r="D45" s="1">
        <v>21.058823499999999</v>
      </c>
      <c r="E45" s="1">
        <v>100</v>
      </c>
      <c r="F45" s="1">
        <v>32.352941176470587</v>
      </c>
      <c r="G45" s="1">
        <v>75.531600520214781</v>
      </c>
      <c r="H45" s="1">
        <v>71.146986919339</v>
      </c>
      <c r="I45" s="1">
        <v>70.732615835003429</v>
      </c>
      <c r="J45" s="1">
        <v>78.470717037184357</v>
      </c>
      <c r="K45" s="1">
        <v>0.73636364936828613</v>
      </c>
      <c r="L45" s="1">
        <v>9.9514542285617541E-2</v>
      </c>
      <c r="M45" s="3">
        <f>(12.318)+(25.386*L45)+(-9.651*K45)</f>
        <v>7.7376305904093572</v>
      </c>
      <c r="N45" s="4">
        <v>21.058823499999999</v>
      </c>
      <c r="O45" s="1">
        <v>1102</v>
      </c>
      <c r="P45" s="1">
        <v>358</v>
      </c>
      <c r="Q45" s="1">
        <f>O45/P45</f>
        <v>3.0782122905027931</v>
      </c>
      <c r="R45" s="1">
        <f>(198.825)-(40.175*Q45)-(2.61*N45)</f>
        <v>20.194291894050288</v>
      </c>
      <c r="S45" s="1">
        <f>(118.823)-(25.987*Q45)-(0.971*N45)</f>
        <v>18.38137958820392</v>
      </c>
      <c r="T45" s="12">
        <v>34.377085568591966</v>
      </c>
      <c r="U45" s="2">
        <f>P45/N45</f>
        <v>17.000000023743016</v>
      </c>
    </row>
    <row r="46" spans="1:21" x14ac:dyDescent="0.2">
      <c r="A46" s="8" t="s">
        <v>54</v>
      </c>
      <c r="B46" s="1">
        <v>8.7765957446808507</v>
      </c>
      <c r="C46" s="1">
        <v>44.946808510638299</v>
      </c>
      <c r="D46" s="1">
        <v>37.6</v>
      </c>
      <c r="E46" s="1">
        <v>100</v>
      </c>
      <c r="F46" s="1">
        <v>61</v>
      </c>
      <c r="G46" s="1">
        <v>76.645159574468082</v>
      </c>
      <c r="H46" s="1">
        <v>75.699342553191485</v>
      </c>
      <c r="I46" s="1">
        <v>77.092191489361696</v>
      </c>
      <c r="J46" s="1">
        <v>75.677208510638309</v>
      </c>
      <c r="K46" s="1">
        <v>0.73596090078353882</v>
      </c>
      <c r="L46" s="1">
        <v>7.8126908750833141E-2</v>
      </c>
      <c r="M46" s="3">
        <f>(12.318)+(25.386*L46)+(-9.651*K46)</f>
        <v>7.1985710520867165</v>
      </c>
      <c r="N46" s="7">
        <v>37.6</v>
      </c>
      <c r="O46" s="1">
        <v>1038</v>
      </c>
      <c r="P46" s="1">
        <v>376</v>
      </c>
      <c r="Q46" s="1">
        <f>O46/P46</f>
        <v>2.7606382978723403</v>
      </c>
      <c r="R46" s="1">
        <f>(198.825)-(40.175*Q46)-(2.61*N46)</f>
        <v>-10.219643617021276</v>
      </c>
      <c r="S46" s="1">
        <f>(118.823)-(25.987*Q46)-(0.971*N46)</f>
        <v>10.572692553191494</v>
      </c>
      <c r="T46" s="12">
        <v>38.200209423509712</v>
      </c>
      <c r="U46" s="2">
        <f>P46/N46</f>
        <v>10</v>
      </c>
    </row>
    <row r="47" spans="1:21" x14ac:dyDescent="0.2">
      <c r="A47" s="8" t="s">
        <v>55</v>
      </c>
      <c r="B47" s="1">
        <v>42.5</v>
      </c>
      <c r="C47" s="1">
        <v>36.9444444444444</v>
      </c>
      <c r="D47" s="1">
        <v>18</v>
      </c>
      <c r="E47" s="1">
        <v>95</v>
      </c>
      <c r="F47" s="1">
        <v>23.5</v>
      </c>
      <c r="G47" s="1">
        <v>93.516833333333295</v>
      </c>
      <c r="H47" s="1">
        <v>93.402388888888865</v>
      </c>
      <c r="I47" s="1">
        <v>91.252888888888862</v>
      </c>
      <c r="J47" s="1">
        <v>97.44</v>
      </c>
      <c r="K47" s="1">
        <v>0.63243693113327026</v>
      </c>
      <c r="L47" s="1">
        <v>7.1373764689835723E-2</v>
      </c>
      <c r="M47" s="3">
        <f>(12.318)+(25.386*L47)+(-9.651*K47)</f>
        <v>8.0262455680489779</v>
      </c>
      <c r="N47" s="4">
        <v>18</v>
      </c>
      <c r="O47" s="1">
        <v>976</v>
      </c>
      <c r="P47" s="1">
        <v>360</v>
      </c>
      <c r="Q47" s="1">
        <f>O47/P47</f>
        <v>2.7111111111111112</v>
      </c>
      <c r="R47" s="1">
        <f>(198.825)-(40.175*Q47)-(2.61*N47)</f>
        <v>42.926111111111105</v>
      </c>
      <c r="S47" s="1">
        <f>(118.823)-(25.987*Q47)-(0.971*N47)</f>
        <v>30.891355555555545</v>
      </c>
      <c r="T47" s="12">
        <v>18.658938876581377</v>
      </c>
      <c r="U47" s="2">
        <f>P47/N47</f>
        <v>20</v>
      </c>
    </row>
    <row r="48" spans="1:21" x14ac:dyDescent="0.2">
      <c r="A48" s="8" t="s">
        <v>56</v>
      </c>
      <c r="B48" s="1">
        <v>36.756756756756758</v>
      </c>
      <c r="C48" s="1">
        <v>48.918918918918919</v>
      </c>
      <c r="D48" s="1">
        <v>26.428571428571427</v>
      </c>
      <c r="E48" s="1">
        <v>85.714285714285708</v>
      </c>
      <c r="F48" s="1">
        <v>46.428571428571431</v>
      </c>
      <c r="G48" s="1">
        <v>92.491579150579156</v>
      </c>
      <c r="H48" s="1">
        <v>99.171227799227808</v>
      </c>
      <c r="I48" s="1">
        <v>99.859370656370658</v>
      </c>
      <c r="J48" s="1">
        <v>96.910239382239382</v>
      </c>
      <c r="K48" s="1">
        <v>0.6359708309173584</v>
      </c>
      <c r="L48" s="1">
        <v>5.6131161192580332E-2</v>
      </c>
      <c r="M48" s="3">
        <f>(12.318)+(25.386*L48)+(-9.651*K48)</f>
        <v>7.6051911688514178</v>
      </c>
      <c r="N48" s="1">
        <v>26.428571428571427</v>
      </c>
      <c r="O48" s="1">
        <v>1010</v>
      </c>
      <c r="P48" s="1">
        <v>370</v>
      </c>
      <c r="Q48" s="1">
        <f>O48/P48</f>
        <v>2.7297297297297298</v>
      </c>
      <c r="R48" s="1">
        <f>(198.825)-(40.175*Q48)-(2.61*N48)</f>
        <v>20.179536679536668</v>
      </c>
      <c r="S48" s="1">
        <f>(118.823)-(25.987*Q48)-(0.971*N48)</f>
        <v>22.223370656370662</v>
      </c>
      <c r="T48" s="12">
        <v>25.866523554902511</v>
      </c>
      <c r="U48" s="2">
        <f>P48/N48</f>
        <v>14</v>
      </c>
    </row>
    <row r="49" spans="1:21" x14ac:dyDescent="0.2">
      <c r="A49" s="8" t="s">
        <v>57</v>
      </c>
      <c r="B49" s="1">
        <v>41.878172588832484</v>
      </c>
      <c r="C49" s="1">
        <v>43.654822335025379</v>
      </c>
      <c r="D49" s="1">
        <v>16.416666666666668</v>
      </c>
      <c r="E49" s="1">
        <v>83.333333333333343</v>
      </c>
      <c r="F49" s="1">
        <v>23.75</v>
      </c>
      <c r="G49" s="1">
        <v>93.686338409475468</v>
      </c>
      <c r="H49" s="1">
        <v>96.812328680203052</v>
      </c>
      <c r="I49" s="1">
        <v>95.394104060913691</v>
      </c>
      <c r="J49" s="1">
        <v>95.825197969543154</v>
      </c>
      <c r="K49" s="1">
        <v>0.62087440490722656</v>
      </c>
      <c r="L49" s="1">
        <v>8.0211625047358723E-2</v>
      </c>
      <c r="M49" s="3">
        <f>(12.318)+(25.386*L49)+(-9.651*K49)</f>
        <v>8.3621934316926048</v>
      </c>
      <c r="N49" s="1">
        <v>16.416666666666668</v>
      </c>
      <c r="O49" s="1">
        <v>1058</v>
      </c>
      <c r="P49" s="1">
        <v>395</v>
      </c>
      <c r="Q49" s="1">
        <f>O49/P49</f>
        <v>2.6784810126582279</v>
      </c>
      <c r="R49" s="1">
        <f>(198.825)-(40.175*Q49)-(2.61*N49)</f>
        <v>48.369525316455686</v>
      </c>
      <c r="S49" s="1">
        <f>(118.823)-(25.987*Q49)-(0.971*N49)</f>
        <v>33.276730590717293</v>
      </c>
      <c r="T49" s="12">
        <v>18.482147918103745</v>
      </c>
      <c r="U49" s="2">
        <f>P49/N49</f>
        <v>24.060913705583754</v>
      </c>
    </row>
    <row r="50" spans="1:21" x14ac:dyDescent="0.2">
      <c r="A50" s="8" t="s">
        <v>58</v>
      </c>
      <c r="B50" s="1">
        <v>2.7272727272727271</v>
      </c>
      <c r="C50" s="1">
        <v>50.91</v>
      </c>
      <c r="D50" s="1">
        <v>11</v>
      </c>
      <c r="E50" s="1">
        <v>70</v>
      </c>
      <c r="F50" s="1">
        <v>15</v>
      </c>
      <c r="G50" s="1">
        <v>76.240264545454536</v>
      </c>
      <c r="H50" s="1">
        <v>65.519698181818185</v>
      </c>
      <c r="I50" s="1">
        <v>65.741805454545457</v>
      </c>
      <c r="J50" s="1">
        <v>52.981090909090909</v>
      </c>
      <c r="K50" s="1">
        <v>0.54052174091339111</v>
      </c>
      <c r="L50" s="1">
        <v>9.6778007001059707E-2</v>
      </c>
      <c r="M50" s="3">
        <f>(12.318)+(25.386*L50)+(-9.651*K50)</f>
        <v>9.5582311641737654</v>
      </c>
      <c r="N50" s="1">
        <v>11</v>
      </c>
      <c r="O50" s="1">
        <v>282</v>
      </c>
      <c r="P50" s="1">
        <v>110</v>
      </c>
      <c r="Q50" s="1">
        <f>O50/P50</f>
        <v>2.5636363636363635</v>
      </c>
      <c r="R50" s="1">
        <f>(198.825)-(40.175*Q50)-(2.61*N50)</f>
        <v>67.120909090909095</v>
      </c>
      <c r="S50" s="1">
        <f>(118.823)-(25.987*Q50)-(0.971*N50)</f>
        <v>41.520781818181817</v>
      </c>
      <c r="T50" s="1"/>
      <c r="U50" s="2">
        <f>P50/N50</f>
        <v>10</v>
      </c>
    </row>
    <row r="51" spans="1:21" x14ac:dyDescent="0.2">
      <c r="A51" s="8" t="s">
        <v>59</v>
      </c>
      <c r="B51" s="1">
        <v>1.7021276595744681</v>
      </c>
      <c r="C51" s="1">
        <v>36.6</v>
      </c>
      <c r="D51" s="1">
        <v>8.7037037037037042</v>
      </c>
      <c r="E51" s="1">
        <v>81.481481481481481</v>
      </c>
      <c r="F51" s="1">
        <v>12.962962962962962</v>
      </c>
      <c r="G51" s="1">
        <v>68.60776233254532</v>
      </c>
      <c r="H51" s="1">
        <v>54.296899290780146</v>
      </c>
      <c r="I51" s="1">
        <v>54.609804097714736</v>
      </c>
      <c r="J51" s="1">
        <v>50.514855791962177</v>
      </c>
      <c r="K51" s="1">
        <v>0.83887290954589844</v>
      </c>
      <c r="L51" s="1">
        <v>7.84833297870592E-2</v>
      </c>
      <c r="M51" s="3">
        <f>(12.318)+(25.386*L51)+(-9.651*K51)</f>
        <v>6.2144153599468179</v>
      </c>
      <c r="N51" s="1">
        <v>8.7037037037037042</v>
      </c>
      <c r="O51" s="1">
        <v>613</v>
      </c>
      <c r="P51" s="1">
        <v>235</v>
      </c>
      <c r="Q51" s="1">
        <f>O51/P51</f>
        <v>2.6085106382978722</v>
      </c>
      <c r="R51" s="1">
        <f>(198.825)-(40.175*Q51)-(2.61*N51)</f>
        <v>71.311418439716306</v>
      </c>
      <c r="S51" s="1">
        <f>(118.823)-(25.987*Q51)-(0.971*N51)</f>
        <v>42.584337746256899</v>
      </c>
      <c r="T51" s="1"/>
      <c r="U51" s="2">
        <f>P51/N51</f>
        <v>27</v>
      </c>
    </row>
    <row r="52" spans="1:21" x14ac:dyDescent="0.2">
      <c r="A52" s="8" t="s">
        <v>60</v>
      </c>
      <c r="B52" s="1">
        <v>24.806201550387598</v>
      </c>
      <c r="C52" s="1">
        <v>40.31</v>
      </c>
      <c r="D52" s="1">
        <v>12.9</v>
      </c>
      <c r="E52" s="1">
        <v>70</v>
      </c>
      <c r="F52" s="1">
        <v>13</v>
      </c>
      <c r="G52" s="1">
        <v>73.577760387596911</v>
      </c>
      <c r="H52" s="1">
        <v>78.434818759689918</v>
      </c>
      <c r="I52" s="1">
        <v>76.432032093023267</v>
      </c>
      <c r="J52" s="1">
        <v>76.422251162790701</v>
      </c>
      <c r="K52" s="1">
        <v>0.38970473408699041</v>
      </c>
      <c r="L52" s="1">
        <v>3.5295527589810687E-2</v>
      </c>
      <c r="M52" s="3">
        <f>(12.318)+(25.386*L52)+(-9.651*K52)</f>
        <v>9.4529718747213902</v>
      </c>
      <c r="N52" s="1">
        <v>12.9</v>
      </c>
      <c r="O52" s="1">
        <v>350</v>
      </c>
      <c r="P52" s="1">
        <v>129</v>
      </c>
      <c r="Q52" s="1">
        <f>O52/P52</f>
        <v>2.7131782945736433</v>
      </c>
      <c r="R52" s="1">
        <f>(198.825)-(40.175*Q52)-(2.61*N52)</f>
        <v>56.154062015503882</v>
      </c>
      <c r="S52" s="1">
        <f>(118.823)-(25.987*Q52)-(0.971*N52)</f>
        <v>35.789735658914729</v>
      </c>
      <c r="T52" s="1"/>
      <c r="U52" s="2">
        <f>P52/N52</f>
        <v>10</v>
      </c>
    </row>
    <row r="53" spans="1:21" x14ac:dyDescent="0.2">
      <c r="A53" s="8" t="s">
        <v>61</v>
      </c>
      <c r="B53" s="1">
        <v>12.056737588652481</v>
      </c>
      <c r="C53" s="1">
        <v>52.48</v>
      </c>
      <c r="D53" s="1">
        <v>7.833333333333333</v>
      </c>
      <c r="E53" s="1">
        <v>61.111111111111114</v>
      </c>
      <c r="F53" s="1">
        <v>6.6666666666666661</v>
      </c>
      <c r="G53" s="1">
        <v>78.423947139479907</v>
      </c>
      <c r="H53" s="1">
        <v>73.695898865248239</v>
      </c>
      <c r="I53" s="1">
        <v>72.716265815602839</v>
      </c>
      <c r="J53" s="1">
        <v>60.409191489361703</v>
      </c>
      <c r="K53" s="1">
        <v>0.85321694612503052</v>
      </c>
      <c r="L53" s="1">
        <v>8.8104677048725637E-3</v>
      </c>
      <c r="M53" s="3">
        <f>(12.318)+(25.386*L53)+(-9.651*K53)</f>
        <v>4.3072657861032262</v>
      </c>
      <c r="N53" s="1">
        <v>7.833333333333333</v>
      </c>
      <c r="O53" s="1">
        <v>372</v>
      </c>
      <c r="P53" s="1">
        <v>141</v>
      </c>
      <c r="Q53" s="1">
        <f>O53/P53</f>
        <v>2.6382978723404253</v>
      </c>
      <c r="R53" s="1">
        <f>(198.825)-(40.175*Q53)-(2.61*N53)</f>
        <v>72.386382978723418</v>
      </c>
      <c r="S53" s="1">
        <f>(118.823)-(25.987*Q53)-(0.971*N53)</f>
        <v>42.655386524822703</v>
      </c>
      <c r="T53" s="1"/>
      <c r="U53" s="2">
        <f>P53/N53</f>
        <v>18</v>
      </c>
    </row>
    <row r="54" spans="1:21" x14ac:dyDescent="0.2">
      <c r="A54" s="8" t="s">
        <v>62</v>
      </c>
      <c r="B54" s="1">
        <v>7.8512396694214877</v>
      </c>
      <c r="C54" s="1">
        <v>41.32</v>
      </c>
      <c r="D54" s="1">
        <v>12.736842105263158</v>
      </c>
      <c r="E54" s="1">
        <v>84.210526315789465</v>
      </c>
      <c r="F54" s="1">
        <v>15.263157894736842</v>
      </c>
      <c r="G54" s="1">
        <v>76.691549752066109</v>
      </c>
      <c r="H54" s="1">
        <v>64.185665611135278</v>
      </c>
      <c r="I54" s="1">
        <v>63.495927568508044</v>
      </c>
      <c r="J54" s="1">
        <v>59.229839060461074</v>
      </c>
      <c r="K54" s="1">
        <v>0.8440248966217041</v>
      </c>
      <c r="L54" s="1">
        <v>0.12587529597203059</v>
      </c>
      <c r="M54" s="3">
        <f>(12.318)+(25.386*L54)+(-9.651*K54)</f>
        <v>7.3677859862499027</v>
      </c>
      <c r="N54" s="1">
        <v>12.736842105263158</v>
      </c>
      <c r="O54" s="1">
        <v>667</v>
      </c>
      <c r="P54" s="1">
        <v>242</v>
      </c>
      <c r="Q54" s="1">
        <f>O54/P54</f>
        <v>2.7561983471074378</v>
      </c>
      <c r="R54" s="1">
        <f>(198.825)-(40.175*Q54)-(2.61*N54)</f>
        <v>54.85157351022184</v>
      </c>
      <c r="S54" s="1">
        <f>(118.823)-(25.987*Q54)-(0.971*N54)</f>
        <v>34.83019986950849</v>
      </c>
      <c r="T54" s="1"/>
      <c r="U54" s="2">
        <f>P54/N54</f>
        <v>19</v>
      </c>
    </row>
    <row r="55" spans="1:21" x14ac:dyDescent="0.2">
      <c r="A55" s="8" t="s">
        <v>63</v>
      </c>
      <c r="B55" s="1">
        <v>15.354330708661418</v>
      </c>
      <c r="C55" s="1">
        <v>42.13</v>
      </c>
      <c r="D55" s="1">
        <v>15.875</v>
      </c>
      <c r="E55" s="1">
        <v>50</v>
      </c>
      <c r="F55" s="1">
        <v>15.625</v>
      </c>
      <c r="G55" s="1">
        <v>54.320330000000006</v>
      </c>
      <c r="H55" s="1">
        <v>72.351963031496069</v>
      </c>
      <c r="I55" s="1">
        <v>70.390941811023623</v>
      </c>
      <c r="J55" s="1">
        <v>68.751165354330709</v>
      </c>
      <c r="K55" s="1">
        <v>0.6759604811668396</v>
      </c>
      <c r="L55" s="1">
        <v>7.1833587968276408E-2</v>
      </c>
      <c r="M55" s="3">
        <f>(12.318)+(25.386*L55)+(-9.651*K55)</f>
        <v>7.6178728604214951</v>
      </c>
      <c r="N55" s="1">
        <v>15.875</v>
      </c>
      <c r="O55" s="1">
        <v>693</v>
      </c>
      <c r="P55" s="1">
        <v>254</v>
      </c>
      <c r="Q55" s="1">
        <f>O55/P55</f>
        <v>2.7283464566929134</v>
      </c>
      <c r="R55" s="1">
        <f>(198.825)-(40.175*Q55)-(2.61*N55)</f>
        <v>47.779931102362205</v>
      </c>
      <c r="S55" s="1">
        <f>(118.823)-(25.987*Q55)-(0.971*N55)</f>
        <v>32.506835629921255</v>
      </c>
      <c r="T55" s="1"/>
      <c r="U55" s="2">
        <f>P55/N55</f>
        <v>16</v>
      </c>
    </row>
    <row r="56" spans="1:21" x14ac:dyDescent="0.2">
      <c r="A56" s="8" t="s">
        <v>58</v>
      </c>
      <c r="B56" s="1">
        <v>2.7272727272727271</v>
      </c>
      <c r="C56" s="1">
        <v>52.73</v>
      </c>
      <c r="D56" s="1">
        <v>11</v>
      </c>
      <c r="E56" s="1">
        <v>70</v>
      </c>
      <c r="F56" s="1">
        <v>15</v>
      </c>
      <c r="G56" s="1">
        <v>78.407884545454536</v>
      </c>
      <c r="H56" s="1">
        <v>66.735458181818188</v>
      </c>
      <c r="I56" s="1">
        <v>66.990325454545456</v>
      </c>
      <c r="J56" s="1">
        <v>52.981090909090909</v>
      </c>
      <c r="K56" s="1">
        <v>0.54052174091339111</v>
      </c>
      <c r="L56" s="1">
        <v>9.6778007001059707E-2</v>
      </c>
      <c r="M56" s="3">
        <f>(12.318)+(25.386*L56)+(-9.651*K56)</f>
        <v>9.5582311641737654</v>
      </c>
      <c r="N56" s="1">
        <v>11</v>
      </c>
      <c r="O56" s="1">
        <v>282</v>
      </c>
      <c r="P56" s="1">
        <v>110</v>
      </c>
      <c r="Q56" s="1">
        <f>O56/P56</f>
        <v>2.5636363636363635</v>
      </c>
      <c r="R56" s="1">
        <f>(198.825)-(40.175*Q56)-(2.61*N56)</f>
        <v>67.120909090909095</v>
      </c>
      <c r="S56" s="1">
        <f>(118.823)-(25.987*Q56)-(0.971*N56)</f>
        <v>41.520781818181817</v>
      </c>
      <c r="T56" s="1"/>
      <c r="U56" s="2">
        <f>P56/N56</f>
        <v>10</v>
      </c>
    </row>
    <row r="57" spans="1:21" ht="18" customHeight="1" x14ac:dyDescent="0.2">
      <c r="A57" s="8" t="s">
        <v>64</v>
      </c>
      <c r="B57" s="1">
        <v>4.2402826855123674</v>
      </c>
      <c r="C57" s="1">
        <v>33.57</v>
      </c>
      <c r="D57" s="1">
        <v>10.884615384615385</v>
      </c>
      <c r="E57" s="1">
        <v>84.615384615384613</v>
      </c>
      <c r="F57" s="1">
        <v>11.923076923076923</v>
      </c>
      <c r="G57" s="1">
        <v>67.146164373471038</v>
      </c>
      <c r="H57" s="1">
        <v>55.225064838271273</v>
      </c>
      <c r="I57" s="1">
        <v>54.413031144332699</v>
      </c>
      <c r="J57" s="1">
        <v>54.434204946996473</v>
      </c>
      <c r="K57" s="1">
        <v>0.79336303472518921</v>
      </c>
      <c r="L57" s="1">
        <v>0.12667937203408769</v>
      </c>
      <c r="M57" s="3">
        <f>(12.318)+(25.386*L57)+(-9.651*K57)</f>
        <v>7.8771358903245492</v>
      </c>
      <c r="N57" s="1">
        <v>10.884615384615385</v>
      </c>
      <c r="O57" s="1">
        <v>760</v>
      </c>
      <c r="P57" s="1">
        <v>283</v>
      </c>
      <c r="Q57" s="1">
        <f>O57/P57</f>
        <v>2.6855123674911661</v>
      </c>
      <c r="R57" s="1">
        <f>(198.825)-(40.175*Q57)-(2.61*N57)</f>
        <v>62.525694482196243</v>
      </c>
      <c r="S57" s="1">
        <f>(118.823)-(25.987*Q57)-(0.971*N57)</f>
        <v>38.465628567545522</v>
      </c>
      <c r="T57" s="1"/>
      <c r="U57" s="2">
        <f>P57/N57</f>
        <v>26</v>
      </c>
    </row>
    <row r="58" spans="1:21" x14ac:dyDescent="0.2">
      <c r="A58" s="8" t="s">
        <v>65</v>
      </c>
      <c r="B58" s="1">
        <v>15.311909262759924</v>
      </c>
      <c r="C58" s="1">
        <v>29.87</v>
      </c>
      <c r="D58" s="1">
        <v>7.7794117647058822</v>
      </c>
      <c r="E58" s="1">
        <v>41.17647058823529</v>
      </c>
      <c r="F58" s="1">
        <v>3.8235294117647056</v>
      </c>
      <c r="G58" s="1">
        <v>38.572561081952628</v>
      </c>
      <c r="H58" s="1">
        <v>61.429248541087503</v>
      </c>
      <c r="I58" s="1">
        <v>59.278069972200605</v>
      </c>
      <c r="J58" s="1">
        <v>63.656757478038479</v>
      </c>
      <c r="K58" s="1">
        <v>0.76765859127044678</v>
      </c>
      <c r="L58" s="1">
        <v>7.788456945408101E-2</v>
      </c>
      <c r="M58" s="3">
        <f>(12.318)+(25.386*L58)+(-9.651*K58)</f>
        <v>6.8865046158102183</v>
      </c>
      <c r="N58" s="1">
        <v>7.7794117647058822</v>
      </c>
      <c r="O58" s="1">
        <v>1334</v>
      </c>
      <c r="P58" s="1">
        <v>532</v>
      </c>
      <c r="Q58" s="1">
        <f>O58/P58</f>
        <v>2.507518796992481</v>
      </c>
      <c r="R58" s="1">
        <f>(198.825)-(40.175*Q58)-(2.61*N58)</f>
        <v>77.781167624944715</v>
      </c>
      <c r="S58" s="1">
        <f>(118.823)-(25.987*Q58)-(0.971*N58)</f>
        <v>46.10630019902699</v>
      </c>
      <c r="T58" s="1"/>
      <c r="U58" s="2">
        <f>P58/N58</f>
        <v>68.385633270321364</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dc:creator>
  <cp:lastModifiedBy>Muhittin Rahman KALYONCU</cp:lastModifiedBy>
  <dcterms:created xsi:type="dcterms:W3CDTF">2015-06-05T18:19:34Z</dcterms:created>
  <dcterms:modified xsi:type="dcterms:W3CDTF">2026-07-04T12:39:31Z</dcterms:modified>
</cp:coreProperties>
</file>